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会精简版" sheetId="1" state="visible" r:id="rId1"/>
    <sheet xmlns:r="http://schemas.openxmlformats.org/officeDocument/2006/relationships" name="基线完成结果" sheetId="2" state="visible" r:id="rId2"/>
    <sheet xmlns:r="http://schemas.openxmlformats.org/officeDocument/2006/relationships" name="非YOLO结果汇总" sheetId="3" state="visible" r:id="rId3"/>
    <sheet xmlns:r="http://schemas.openxmlformats.org/officeDocument/2006/relationships" name="全部约81候选" sheetId="4" state="visible" r:id="rId4"/>
    <sheet xmlns:r="http://schemas.openxmlformats.org/officeDocument/2006/relationships" name="基线矩阵与状态" sheetId="5" state="visible" r:id="rId5"/>
    <sheet xmlns:r="http://schemas.openxmlformats.org/officeDocument/2006/relationships" name="模型改进说明" sheetId="6" state="visible" r:id="rId6"/>
    <sheet xmlns:r="http://schemas.openxmlformats.org/officeDocument/2006/relationships" name="口径与答辩" sheetId="7" state="visible" r:id="rId7"/>
  </sheets>
  <definedNames>
    <definedName name="_xlnm._FilterDatabase" localSheetId="0" hidden="1">'组会精简版'!$A$4:$P$11</definedName>
    <definedName name="_xlnm._FilterDatabase" localSheetId="1" hidden="1">'基线完成结果'!$A$4:$U$15</definedName>
    <definedName name="_xlnm._FilterDatabase" localSheetId="2" hidden="1">'非YOLO结果汇总'!$A$4:$AM$12</definedName>
    <definedName name="_xlnm._FilterDatabase" localSheetId="3" hidden="1">'全部约81候选'!$A$4:$O$18</definedName>
    <definedName name="_xlnm._FilterDatabase" localSheetId="4" hidden="1">'基线矩阵与状态'!$A$4:$E$17</definedName>
    <definedName name="_xlnm._FilterDatabase" localSheetId="5" hidden="1">'模型改进说明'!$A$4:$E$11</definedName>
    <definedName name="_xlnm._FilterDatabase" localSheetId="6" hidden="1">'口径与答辩'!$A$4:$B$14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 pt&quot;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Calibri"/>
      <family val="2"/>
      <color theme="10"/>
      <sz val="12"/>
      <scheme val="minor"/>
    </font>
    <font>
      <name val="Microsoft YaHei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5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10" fontId="5" fillId="4" borderId="2" applyAlignment="1" pivotButton="0" quotePrefix="0" xfId="0">
      <alignment vertical="center" wrapText="1"/>
    </xf>
    <xf numFmtId="164" fontId="5" fillId="4" borderId="2" applyAlignment="1" pivotButton="0" quotePrefix="0" xfId="0">
      <alignment vertical="center" wrapText="1"/>
    </xf>
    <xf numFmtId="0" fontId="5" fillId="4" borderId="2" applyAlignment="1" pivotButton="0" quotePrefix="0" xfId="1">
      <alignment vertical="center" wrapText="1"/>
    </xf>
    <xf numFmtId="0" fontId="5" fillId="5" borderId="2" applyAlignment="1" pivotButton="0" quotePrefix="0" xfId="0">
      <alignment vertical="center" wrapText="1"/>
    </xf>
    <xf numFmtId="10" fontId="5" fillId="5" borderId="2" applyAlignment="1" pivotButton="0" quotePrefix="0" xfId="0">
      <alignment vertical="center" wrapText="1"/>
    </xf>
    <xf numFmtId="164" fontId="5" fillId="5" borderId="2" applyAlignment="1" pivotButton="0" quotePrefix="0" xfId="0">
      <alignment vertical="center" wrapText="1"/>
    </xf>
    <xf numFmtId="0" fontId="5" fillId="5" borderId="2" applyAlignment="1" pivotButton="0" quotePrefix="0" xfId="1">
      <alignment vertical="center" wrapText="1"/>
    </xf>
    <xf numFmtId="10" fontId="5" fillId="0" borderId="2" applyAlignment="1" pivotButton="0" quotePrefix="0" xfId="0">
      <alignment vertical="center" wrapText="1"/>
    </xf>
    <xf numFmtId="0" fontId="5" fillId="0" borderId="2" applyAlignment="1" pivotButton="0" quotePrefix="0" xfId="1">
      <alignment vertical="center" wrapText="1"/>
    </xf>
    <xf numFmtId="2" fontId="5" fillId="5" borderId="2" applyAlignment="1" pivotButton="0" quotePrefix="0" xfId="0">
      <alignment vertical="center" wrapText="1"/>
    </xf>
    <xf numFmtId="0" fontId="5" fillId="6" borderId="2" applyAlignment="1" pivotButton="0" quotePrefix="0" xfId="0">
      <alignment vertical="center" wrapText="1"/>
    </xf>
    <xf numFmtId="10" fontId="5" fillId="6" borderId="2" applyAlignment="1" pivotButton="0" quotePrefix="0" xfId="0">
      <alignment vertical="center" wrapText="1"/>
    </xf>
    <xf numFmtId="2" fontId="5" fillId="6" borderId="2" applyAlignment="1" pivotButton="0" quotePrefix="0" xfId="0">
      <alignment vertical="center" wrapText="1"/>
    </xf>
    <xf numFmtId="0" fontId="5" fillId="6" borderId="2" applyAlignment="1" pivotButton="0" quotePrefix="0" xfId="1">
      <alignment vertical="center" wrapText="1"/>
    </xf>
    <xf numFmtId="164" fontId="5" fillId="0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组会展示模型 Mask mAP50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'组会精简版'!J4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'组会精简版'!$B$5:$B$11</f>
            </numRef>
          </cat>
          <val>
            <numRef>
              <f>'组会精简版'!$J$5:$J$11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3"/>
          <min val="0.7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Mask mAP50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mastercode\1_SEVER\results\A_baselines\old_data_runs\001_3_yolo11-seg_adamw\results.csv" TargetMode="External" Id="rId1"/><Relationship Type="http://schemas.openxmlformats.org/officeDocument/2006/relationships/hyperlink" Target="E:\mastercode\1_SEVER\results\A_baselines\old_data_runs\001_3_yolo11-seg_adamw\val_batch0_pred.jpg" TargetMode="External" Id="rId2"/><Relationship Type="http://schemas.openxmlformats.org/officeDocument/2006/relationships/hyperlink" Target="E:\mastercode\1_SEVER\results\F_series\old_data_300ep\F61_yolo11-seg-tgp-tdam_300ep\results.csv" TargetMode="External" Id="rId3"/><Relationship Type="http://schemas.openxmlformats.org/officeDocument/2006/relationships/hyperlink" Target="E:\mastercode\1_SEVER\results\F_series\old_data_300ep\F61_yolo11-seg-tgp-tdam_300ep\val_batch0_pred.jpg" TargetMode="External" Id="rId4"/><Relationship Type="http://schemas.openxmlformats.org/officeDocument/2006/relationships/hyperlink" Target="E:\mastercode\1_SEVER\results\F_series\old_data_300ep\F36_yolo11-seg-ours-no-dysample_300ep\results.csv" TargetMode="External" Id="rId5"/><Relationship Type="http://schemas.openxmlformats.org/officeDocument/2006/relationships/hyperlink" Target="E:\mastercode\1_SEVER\results\F_series\old_data_300ep\F36_yolo11-seg-ours-no-dysample_300ep\val_batch0_pred.jpg" TargetMode="External" Id="rId6"/><Relationship Type="http://schemas.openxmlformats.org/officeDocument/2006/relationships/hyperlink" Target="E:\mastercode\1_SEVER\results\F_series\old_data_300ep\F45_yolo11-seg-citrusfar-edge-nano_300ep\results.csv" TargetMode="External" Id="rId7"/><Relationship Type="http://schemas.openxmlformats.org/officeDocument/2006/relationships/hyperlink" Target="E:\mastercode\1_SEVER\results\F_series\old_data_300ep\F45_yolo11-seg-citrusfar-edge-nano_300ep\val_batch0_pred.jpg" TargetMode="External" Id="rId8"/><Relationship Type="http://schemas.openxmlformats.org/officeDocument/2006/relationships/hyperlink" Target="E:\mastercode\1_SEVER\results\F_series\old_data_300ep\F56_yolo11-seg-freqsuite_300ep\results.csv" TargetMode="External" Id="rId9"/><Relationship Type="http://schemas.openxmlformats.org/officeDocument/2006/relationships/hyperlink" Target="E:\mastercode\1_SEVER\results\F_series\old_data_300ep\F56_yolo11-seg-freqsuite_300ep\val_batch0_pred.jpg" TargetMode="External" Id="rId10"/><Relationship Type="http://schemas.openxmlformats.org/officeDocument/2006/relationships/hyperlink" Target="E:\mastercode\1_SEVER\results\F_series\old_data_300ep\F28_yolo11-seg-dfem-spd_300ep\results.csv" TargetMode="External" Id="rId11"/><Relationship Type="http://schemas.openxmlformats.org/officeDocument/2006/relationships/hyperlink" Target="E:\mastercode\1_SEVER\results\F_series\old_data_300ep\F28_yolo11-seg-dfem-spd_300ep\val_batch0_pred.jpg" TargetMode="External" Id="rId12"/><Relationship Type="http://schemas.openxmlformats.org/officeDocument/2006/relationships/hyperlink" Target="E:\mastercode\1_SEVER\results\F_series\old_data_300ep\F25_yolo11-seg-spd-ema_300ep\results.csv" TargetMode="External" Id="rId13"/><Relationship Type="http://schemas.openxmlformats.org/officeDocument/2006/relationships/hyperlink" Target="E:\mastercode\1_SEVER\results\F_series\old_data_300ep\F25_yolo11-seg-spd-ema_300ep\val_batch0_pred.jpg" TargetMode="External" Id="rId14"/><Relationship Type="http://schemas.openxmlformats.org/officeDocument/2006/relationships/drawing" Target="/xl/drawings/drawing1.xml" Id="rId15"/></Relationships>
</file>

<file path=xl/worksheets/_rels/sheet2.xml.rels><Relationships xmlns="http://schemas.openxmlformats.org/package/2006/relationships"><Relationship Type="http://schemas.openxmlformats.org/officeDocument/2006/relationships/hyperlink" Target="E:\mastercode\1_SEVER\results\A_baselines\old_data_runs\001_1_yolov8-seg_adamw\results.csv" TargetMode="External" Id="rId1"/><Relationship Type="http://schemas.openxmlformats.org/officeDocument/2006/relationships/hyperlink" Target="E:\mastercode\1_SEVER\results\A_baselines\old_data_runs\001_2_yolov9c-seg_adamw\results.csv" TargetMode="External" Id="rId2"/><Relationship Type="http://schemas.openxmlformats.org/officeDocument/2006/relationships/hyperlink" Target="E:\mastercode\1_SEVER\results\A_baselines\old_data_runs\001_3_yolo11-seg_adamw\results.csv" TargetMode="External" Id="rId3"/><Relationship Type="http://schemas.openxmlformats.org/officeDocument/2006/relationships/hyperlink" Target="E:\mastercode\1_SEVER\results\A_baselines\old_data_runs\001_4_yolo12-seg_adamw\results.csv" TargetMode="External" Id="rId4"/><Relationship Type="http://schemas.openxmlformats.org/officeDocument/2006/relationships/hyperlink" Target="E:\mastercode\1_SEVER\results\A_baselines\old_data_runs\001_5_yolo26-seg_adamw\results.csv" TargetMode="External" Id="rId5"/><Relationship Type="http://schemas.openxmlformats.org/officeDocument/2006/relationships/hyperlink" Target="E:\mastercode\1_SEVER\results\A_baselines\old_data_runs\002_1_yolo11-starnet_s1\results.csv" TargetMode="External" Id="rId6"/><Relationship Type="http://schemas.openxmlformats.org/officeDocument/2006/relationships/hyperlink" Target="E:\mastercode\1_SEVER\results\A_baselines\old_data_runs\002_2_yolo11-starnet_s2\results.csv" TargetMode="External" Id="rId7"/><Relationship Type="http://schemas.openxmlformats.org/officeDocument/2006/relationships/hyperlink" Target="E:\mastercode\1_SEVER\results\A_baselines\old_data_runs\003_1_yolo11-mobilenetv4\results.csv" TargetMode="External" Id="rId8"/><Relationship Type="http://schemas.openxmlformats.org/officeDocument/2006/relationships/hyperlink" Target="E:\mastercode\1_SEVER\results\A_baselines\old_data_runs\004_1_yolo11-mano(attn)\results.csv" TargetMode="External" Id="rId9"/><Relationship Type="http://schemas.openxmlformats.org/officeDocument/2006/relationships/hyperlink" Target="E:\mastercode\1_SEVER\results\A_baselines\old_data_runs\002_retrain\evaluation\001_6_maskrcnn_r50_fpn_seed42_test\metrics.json" TargetMode="External" Id="rId10"/><Relationship Type="http://schemas.openxmlformats.org/officeDocument/2006/relationships/hyperlink" Target="E:\mastercode\1_SEVER\results\A_baselines\old_data_runs\002_retrain\evaluation\E_unet_r18_watershed_seed42_test\metrics.json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E:\mastercode\1_SEVER\results\A_baselines\old_data_runs\002_retrain\maskrcnn\001_6_maskrcnn_r50_fpn_seed42\model_best.pth" TargetMode="External" Id="rId1"/><Relationship Type="http://schemas.openxmlformats.org/officeDocument/2006/relationships/hyperlink" Target="E:\mastercode\1_SEVER\results\A_baselines\old_data_runs\002_retrain\maskrcnn\001_6_maskrcnn_r50_fpn_seed42\history.json" TargetMode="External" Id="rId2"/><Relationship Type="http://schemas.openxmlformats.org/officeDocument/2006/relationships/hyperlink" Target="E:\mastercode\1_SEVER\results\A_baselines\old_data_runs\002_retrain\maskrcnn\001_6_maskrcnn_r50_fpn_seed42\run_metadata.json" TargetMode="External" Id="rId3"/><Relationship Type="http://schemas.openxmlformats.org/officeDocument/2006/relationships/hyperlink" Target="E:\mastercode\1_SEVER\results\A_baselines\old_data_runs\002_retrain\maskrcnn\001_6_maskrcnn_r50_fpn_seed42\validation\best_metrics.json" TargetMode="External" Id="rId4"/><Relationship Type="http://schemas.openxmlformats.org/officeDocument/2006/relationships/hyperlink" Target="E:\mastercode\1_SEVER\results\A_baselines\old_data_runs\002_retrain\evaluation\001_6_maskrcnn_r50_fpn_seed42_test\metrics.json" TargetMode="External" Id="rId5"/><Relationship Type="http://schemas.openxmlformats.org/officeDocument/2006/relationships/hyperlink" Target="E:\mastercode\1_SEVER\results\A_baselines\old_data_runs\002_retrain\evaluation\001_6_maskrcnn_r50_fpn_seed42_test\predictions.coco.json" TargetMode="External" Id="rId6"/><Relationship Type="http://schemas.openxmlformats.org/officeDocument/2006/relationships/hyperlink" Target="E:\mastercode\1_SEVER\code\baseline_choice\run_maskrcnn.py" TargetMode="External" Id="rId7"/><Relationship Type="http://schemas.openxmlformats.org/officeDocument/2006/relationships/hyperlink" Target="E:\mastercode\1_SEVER\results\A_baselines\old_data_runs\002_retrain\unet_watershed\E_unet_r18_watershed_seed42\model_best.pth" TargetMode="External" Id="rId8"/><Relationship Type="http://schemas.openxmlformats.org/officeDocument/2006/relationships/hyperlink" Target="E:\mastercode\1_SEVER\results\A_baselines\old_data_runs\002_retrain\unet_watershed\E_unet_r18_watershed_seed42\history.json" TargetMode="External" Id="rId9"/><Relationship Type="http://schemas.openxmlformats.org/officeDocument/2006/relationships/hyperlink" Target="E:\mastercode\1_SEVER\results\A_baselines\old_data_runs\002_retrain\unet_watershed\E_unet_r18_watershed_seed42\run_metadata.json" TargetMode="External" Id="rId10"/><Relationship Type="http://schemas.openxmlformats.org/officeDocument/2006/relationships/hyperlink" Target="E:\mastercode\1_SEVER\results\A_baselines\old_data_runs\002_retrain\unet_watershed\E_unet_r18_watershed_seed42\validation\best_metrics.json" TargetMode="External" Id="rId11"/><Relationship Type="http://schemas.openxmlformats.org/officeDocument/2006/relationships/hyperlink" Target="E:\mastercode\1_SEVER\results\A_baselines\old_data_runs\002_retrain\evaluation\E_unet_r18_watershed_seed42_test\metrics.json" TargetMode="External" Id="rId12"/><Relationship Type="http://schemas.openxmlformats.org/officeDocument/2006/relationships/hyperlink" Target="E:\mastercode\1_SEVER\results\A_baselines\old_data_runs\002_retrain\evaluation\E_unet_r18_watershed_seed42_test\predictions.coco.json" TargetMode="External" Id="rId13"/><Relationship Type="http://schemas.openxmlformats.org/officeDocument/2006/relationships/hyperlink" Target="E:\mastercode\1_SEVER\code\baseline_choice\run_unet.py" TargetMode="External" Id="rId14"/><Relationship Type="http://schemas.openxmlformats.org/officeDocument/2006/relationships/hyperlink" Target="E:\mastercode\1_SEVER\code\baseline_choice\run_mmdet.py" TargetMode="External" Id="rId15"/><Relationship Type="http://schemas.openxmlformats.org/officeDocument/2006/relationships/hyperlink" Target="E:\mastercode\1_SEVER\code\baseline_choice\run_mmdet.py" TargetMode="External" Id="rId16"/><Relationship Type="http://schemas.openxmlformats.org/officeDocument/2006/relationships/hyperlink" Target="E:\mastercode\1_SEVER\code\baseline_choice\run_mmdet.py" TargetMode="External" Id="rId17"/><Relationship Type="http://schemas.openxmlformats.org/officeDocument/2006/relationships/hyperlink" Target="E:\mastercode\1_SEVER\code\baseline_choice\run_rfdetr.py" TargetMode="External" Id="rId18"/><Relationship Type="http://schemas.openxmlformats.org/officeDocument/2006/relationships/hyperlink" Target="E:\mastercode\1_SEVER\code\baseline_choice\configs\baselines.yaml" TargetMode="External" Id="rId19"/><Relationship Type="http://schemas.openxmlformats.org/officeDocument/2006/relationships/hyperlink" Target="E:\mastercode\1_SEVER\code\baseline_choice\configs\baselines.yaml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E:\mastercode\1_SEVER\results\SXQ_series\old_data_300ep\SXQNet-V5-hyper_300ep\results.csv" TargetMode="External" Id="rId1"/><Relationship Type="http://schemas.openxmlformats.org/officeDocument/2006/relationships/hyperlink" Target="E:\mastercode\1_SEVER\results\F_series\old_data_300ep\F25_yolo11-seg-spd-ema_300ep\results.csv" TargetMode="External" Id="rId2"/><Relationship Type="http://schemas.openxmlformats.org/officeDocument/2006/relationships/hyperlink" Target="E:\mastercode\1_SEVER\results\F_series\old_data_300ep\F28_yolo11-seg-dfem-spd_300ep\results.csv" TargetMode="External" Id="rId3"/><Relationship Type="http://schemas.openxmlformats.org/officeDocument/2006/relationships/hyperlink" Target="E:\mastercode\1_SEVER\results\SXQ_series\old_data_300ep\SXQNet-V3-freq_300ep\results.csv" TargetMode="External" Id="rId4"/><Relationship Type="http://schemas.openxmlformats.org/officeDocument/2006/relationships/hyperlink" Target="E:\mastercode\1_SEVER\results\SXQ_series\old_data_300ep\SXQNet-V4-former_300ep\results.csv" TargetMode="External" Id="rId5"/><Relationship Type="http://schemas.openxmlformats.org/officeDocument/2006/relationships/hyperlink" Target="E:\mastercode\1_SEVER\results\F_series\old_data_300ep\F56_yolo11-seg-freqsuite_300ep\results.csv" TargetMode="External" Id="rId6"/><Relationship Type="http://schemas.openxmlformats.org/officeDocument/2006/relationships/hyperlink" Target="E:\mastercode\1_SEVER\results\F_series\old_data_300ep\F45_yolo11-seg-citrusfar-edge-nano_300ep\results.csv" TargetMode="External" Id="rId7"/><Relationship Type="http://schemas.openxmlformats.org/officeDocument/2006/relationships/hyperlink" Target="E:\mastercode\1_SEVER\results\N_series\old_data_300ep\20260821_10_moce_hw_bifpn_edge_p2b_baseline_adamw_train_300ep_b16\results.csv" TargetMode="External" Id="rId8"/><Relationship Type="http://schemas.openxmlformats.org/officeDocument/2006/relationships/hyperlink" Target="E:\mastercode\1_SEVER\results\F_series\old_data_300ep\F36_yolo11-seg-ours-no-dysample_300ep\results.csv" TargetMode="External" Id="rId9"/><Relationship Type="http://schemas.openxmlformats.org/officeDocument/2006/relationships/hyperlink" Target="E:\mastercode\1_SEVER\results\N_series\old_data_300ep\20260821_09_hw_wt_lska_hsf_p2b_baseline_adamw_train_300ep_b16\results.csv" TargetMode="External" Id="rId10"/><Relationship Type="http://schemas.openxmlformats.org/officeDocument/2006/relationships/hyperlink" Target="E:\mastercode\1_SEVER\results\SXQ_series\old_data_300ep\SXQNet-V9-dark_300ep\results.csv" TargetMode="External" Id="rId11"/><Relationship Type="http://schemas.openxmlformats.org/officeDocument/2006/relationships/hyperlink" Target="E:\mastercode\1_SEVER\results\F_series\old_data_300ep\F61_yolo11-seg-tgp-tdam_300ep\results.csv" TargetMode="External" Id="rId12"/><Relationship Type="http://schemas.openxmlformats.org/officeDocument/2006/relationships/hyperlink" Target="E:\mastercode\1_SEVER\results\SXQ_series\old_data_300ep\SXQNet-seg_300ep\results.csv" TargetMode="External" Id="rId13"/><Relationship Type="http://schemas.openxmlformats.org/officeDocument/2006/relationships/hyperlink" Target="E:\mastercode\1_SEVER\results\SXQ_series\old_data_300ep\SXQNet-V8-texture_300ep\results.csv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17" customWidth="1" min="3" max="3"/>
    <col width="48" customWidth="1" min="4" max="4"/>
    <col width="12" customWidth="1" min="5" max="5"/>
    <col width="13" customWidth="1" min="6" max="6"/>
    <col width="11" customWidth="1" min="7" max="7"/>
    <col width="15" customWidth="1" min="8" max="8"/>
    <col width="13" customWidth="1" min="9" max="9"/>
    <col width="14" customWidth="1" min="10" max="10"/>
    <col width="16" customWidth="1" min="11" max="11"/>
    <col width="18" customWidth="1" min="12" max="12"/>
    <col width="21" customWidth="1" min="13" max="13"/>
    <col width="42" customWidth="1" min="14" max="14"/>
    <col width="14" customWidth="1" min="15" max="15"/>
    <col width="14" customWidth="1" min="16" max="16"/>
  </cols>
  <sheetData>
    <row r="1" ht="28" customHeight="1">
      <c r="A1" s="1" t="inlineStr">
        <is>
          <t>柑橘幼果实例分割：基线 78.64% → 阶段性约 81%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38" customHeight="1">
      <c r="A2" s="3" t="inlineStr">
        <is>
          <t>指标均为 Mask；旧协议、单 seed、验证集峰值行，仅用于组会阶段进展。当前更强结果未收入此页，正式论文须统一 grouped_dedup/test/3 seed。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4" customHeight="1">
      <c r="A4" s="1" t="inlineStr">
        <is>
          <t>序号</t>
        </is>
      </c>
      <c r="B4" s="1" t="inlineStr">
        <is>
          <t>模型</t>
        </is>
      </c>
      <c r="C4" s="1" t="inlineStr">
        <is>
          <t>定位</t>
        </is>
      </c>
      <c r="D4" s="1" t="inlineStr">
        <is>
          <t>核心结构改动</t>
        </is>
      </c>
      <c r="E4" s="1" t="inlineStr">
        <is>
          <t>Params (M)</t>
        </is>
      </c>
      <c r="F4" s="1" t="inlineStr">
        <is>
          <t>GFLOPs@640</t>
        </is>
      </c>
      <c r="G4" s="1" t="inlineStr">
        <is>
          <t>峰值Epoch</t>
        </is>
      </c>
      <c r="H4" s="1" t="inlineStr">
        <is>
          <t>Mask Precision</t>
        </is>
      </c>
      <c r="I4" s="1" t="inlineStr">
        <is>
          <t>Mask Recall</t>
        </is>
      </c>
      <c r="J4" s="1" t="inlineStr">
        <is>
          <t>Mask mAP50</t>
        </is>
      </c>
      <c r="K4" s="1" t="inlineStr">
        <is>
          <t>Mask mAP50-95</t>
        </is>
      </c>
      <c r="L4" s="1" t="inlineStr">
        <is>
          <t>ΔmAP50 (百分点)</t>
        </is>
      </c>
      <c r="M4" s="1" t="inlineStr">
        <is>
          <t>ΔmAP50-95 (百分点)</t>
        </is>
      </c>
      <c r="N4" s="1" t="inlineStr">
        <is>
          <t>组会建议讲法</t>
        </is>
      </c>
      <c r="O4" s="1" t="inlineStr">
        <is>
          <t>results.csv</t>
        </is>
      </c>
      <c r="P4" s="1" t="inlineStr">
        <is>
          <t>预测图</t>
        </is>
      </c>
    </row>
    <row r="5" ht="58" customHeight="1">
      <c r="A5" s="4" t="n">
        <v>1</v>
      </c>
      <c r="B5" s="4" t="inlineStr">
        <is>
          <t>YOLO11n-seg</t>
        </is>
      </c>
      <c r="C5" s="4" t="inlineStr">
        <is>
          <t>基线</t>
        </is>
      </c>
      <c r="D5" s="4" t="inlineStr">
        <is>
          <t>C3k2 + SPPF + C2PSA + Segment</t>
        </is>
      </c>
      <c r="E5" s="4" t="n">
        <v>2.843</v>
      </c>
      <c r="F5" s="4" t="n">
        <v>10.36</v>
      </c>
      <c r="G5" s="4" t="n">
        <v>252</v>
      </c>
      <c r="H5" s="5" t="n">
        <v>0.9218</v>
      </c>
      <c r="I5" s="5" t="n">
        <v>0.70162</v>
      </c>
      <c r="J5" s="5" t="n">
        <v>0.78635</v>
      </c>
      <c r="K5" s="5" t="n">
        <v>0.62076</v>
      </c>
      <c r="L5" s="6">
        <f>IFERROR((J5-$J$5)*100,"")</f>
        <v/>
      </c>
      <c r="M5" s="6">
        <f>IFERROR((K5-$K$5)*100,"")</f>
        <v/>
      </c>
      <c r="N5" s="4" t="inlineStr">
        <is>
          <t>以 78.64% Mask mAP50 建立阶段基线。</t>
        </is>
      </c>
      <c r="O5" s="7" t="inlineStr">
        <is>
          <t>打开结果</t>
        </is>
      </c>
      <c r="P5" s="7" t="inlineStr">
        <is>
          <t>打开预测图</t>
        </is>
      </c>
    </row>
    <row r="6" ht="58" customHeight="1">
      <c r="A6" s="8" t="n">
        <v>2</v>
      </c>
      <c r="B6" s="8" t="inlineStr">
        <is>
          <t>F61 TGP+TDAM</t>
        </is>
      </c>
      <c r="C6" s="8" t="inlineStr">
        <is>
          <t>纹理先验探索</t>
        </is>
      </c>
      <c r="D6" s="8" t="inlineStr">
        <is>
          <t>TGP 输入纹理先验 + 两级 TDAM 纹理差分放大</t>
        </is>
      </c>
      <c r="E6" s="8" t="n">
        <v>2.91</v>
      </c>
      <c r="F6" s="8" t="n">
        <v>10.75</v>
      </c>
      <c r="G6" s="8" t="n">
        <v>241</v>
      </c>
      <c r="H6" s="9" t="n">
        <v>0.90407</v>
      </c>
      <c r="I6" s="9" t="n">
        <v>0.72771</v>
      </c>
      <c r="J6" s="9" t="n">
        <v>0.80394</v>
      </c>
      <c r="K6" s="9" t="n">
        <v>0.63339</v>
      </c>
      <c r="L6" s="10">
        <f>IFERROR((J6-$J$5)*100,"")</f>
        <v/>
      </c>
      <c r="M6" s="10">
        <f>IFERROR((K6-$K$5)*100,"")</f>
        <v/>
      </c>
      <c r="N6" s="8" t="inlineStr">
        <is>
          <t>先验证果叶同色场景中的纹理判别思路。</t>
        </is>
      </c>
      <c r="O6" s="11" t="inlineStr">
        <is>
          <t>打开结果</t>
        </is>
      </c>
      <c r="P6" s="11" t="inlineStr">
        <is>
          <t>打开预测图</t>
        </is>
      </c>
    </row>
    <row r="7" ht="58" customHeight="1">
      <c r="A7" s="8" t="n">
        <v>3</v>
      </c>
      <c r="B7" s="8" t="inlineStr">
        <is>
          <t>F36 复合模型（无 DySample）</t>
        </is>
      </c>
      <c r="C7" s="8" t="inlineStr">
        <is>
          <t>多模块组合</t>
        </is>
      </c>
      <c r="D7" s="8" t="inlineStr">
        <is>
          <t>SPDConv + DFEM + SPPF-LSKA + BiFPN + LIAM</t>
        </is>
      </c>
      <c r="E7" s="8" t="n">
        <v>4.585</v>
      </c>
      <c r="F7" s="8" t="n">
        <v>14.36</v>
      </c>
      <c r="G7" s="8" t="n">
        <v>294</v>
      </c>
      <c r="H7" s="9" t="n">
        <v>0.89155</v>
      </c>
      <c r="I7" s="9" t="n">
        <v>0.72883</v>
      </c>
      <c r="J7" s="9" t="n">
        <v>0.80862</v>
      </c>
      <c r="K7" s="9" t="n">
        <v>0.64347</v>
      </c>
      <c r="L7" s="10">
        <f>IFERROR((J7-$J$5)*100,"")</f>
        <v/>
      </c>
      <c r="M7" s="10">
        <f>IFERROR((K7-$K$5)*100,"")</f>
        <v/>
      </c>
      <c r="N7" s="8" t="inlineStr">
        <is>
          <t>组合保细节下采样、频域增强、上下文与亮度适应。</t>
        </is>
      </c>
      <c r="O7" s="11" t="inlineStr">
        <is>
          <t>打开结果</t>
        </is>
      </c>
      <c r="P7" s="11" t="inlineStr">
        <is>
          <t>打开预测图</t>
        </is>
      </c>
    </row>
    <row r="8" ht="58" customHeight="1">
      <c r="A8" s="8" t="n">
        <v>4</v>
      </c>
      <c r="B8" s="8" t="inlineStr">
        <is>
          <t>F45 Edge-Nano</t>
        </is>
      </c>
      <c r="C8" s="8" t="inlineStr">
        <is>
          <t>轻量化代表</t>
        </is>
      </c>
      <c r="D8" s="8" t="inlineStr">
        <is>
          <t>FasterBlock + HWDown + SPPF-LSKA + BiFPN + CSFG</t>
        </is>
      </c>
      <c r="E8" s="8" t="n">
        <v>1.419</v>
      </c>
      <c r="F8" s="8" t="n">
        <v>10.17</v>
      </c>
      <c r="G8" s="8" t="n">
        <v>288</v>
      </c>
      <c r="H8" s="9" t="n">
        <v>0.90526</v>
      </c>
      <c r="I8" s="9" t="n">
        <v>0.7196</v>
      </c>
      <c r="J8" s="9" t="n">
        <v>0.81136</v>
      </c>
      <c r="K8" s="9" t="n">
        <v>0.638</v>
      </c>
      <c r="L8" s="10">
        <f>IFERROR((J8-$J$5)*100,"")</f>
        <v/>
      </c>
      <c r="M8" s="10">
        <f>IFERROR((K8-$K$5)*100,"")</f>
        <v/>
      </c>
      <c r="N8" s="8" t="inlineStr">
        <is>
          <t>参数降至约 1.42M，同时把 Mask mAP50 提升到约 81.1%。</t>
        </is>
      </c>
      <c r="O8" s="11" t="inlineStr">
        <is>
          <t>打开结果</t>
        </is>
      </c>
      <c r="P8" s="11" t="inlineStr">
        <is>
          <t>打开预测图</t>
        </is>
      </c>
    </row>
    <row r="9" ht="58" customHeight="1">
      <c r="A9" s="8" t="n">
        <v>5</v>
      </c>
      <c r="B9" s="8" t="inlineStr">
        <is>
          <t>F56 FreqSuite</t>
        </is>
      </c>
      <c r="C9" s="8" t="inlineStr">
        <is>
          <t>频域代表</t>
        </is>
      </c>
      <c r="D9" s="8" t="inlineStr">
        <is>
          <t>WTConv 骨干 + Haar 下采样 + MWCA 跨频带注意力</t>
        </is>
      </c>
      <c r="E9" s="8" t="n">
        <v>2.556</v>
      </c>
      <c r="F9" s="8" t="n">
        <v>9.779999999999999</v>
      </c>
      <c r="G9" s="8" t="n">
        <v>231</v>
      </c>
      <c r="H9" s="9" t="n">
        <v>0.85836</v>
      </c>
      <c r="I9" s="9" t="n">
        <v>0.73949</v>
      </c>
      <c r="J9" s="9" t="n">
        <v>0.81153</v>
      </c>
      <c r="K9" s="9" t="n">
        <v>0.63955</v>
      </c>
      <c r="L9" s="10">
        <f>IFERROR((J9-$J$5)*100,"")</f>
        <v/>
      </c>
      <c r="M9" s="10">
        <f>IFERROR((K9-$K$5)*100,"")</f>
        <v/>
      </c>
      <c r="N9" s="8" t="inlineStr">
        <is>
          <t>保留边缘频率信息，并按内容选择有效频带。</t>
        </is>
      </c>
      <c r="O9" s="11" t="inlineStr">
        <is>
          <t>打开结果</t>
        </is>
      </c>
      <c r="P9" s="11" t="inlineStr">
        <is>
          <t>打开预测图</t>
        </is>
      </c>
    </row>
    <row r="10" ht="58" customHeight="1">
      <c r="A10" s="8" t="n">
        <v>6</v>
      </c>
      <c r="B10" s="8" t="inlineStr">
        <is>
          <t>F28 DFEM+SPD</t>
        </is>
      </c>
      <c r="C10" s="8" t="inlineStr">
        <is>
          <t>细节增强代表</t>
        </is>
      </c>
      <c r="D10" s="8" t="inlineStr">
        <is>
          <t>三处 SPDConv + 中层 DFEM</t>
        </is>
      </c>
      <c r="E10" s="8" t="n">
        <v>4.307</v>
      </c>
      <c r="F10" s="8" t="n">
        <v>14.14</v>
      </c>
      <c r="G10" s="8" t="n">
        <v>261</v>
      </c>
      <c r="H10" s="9" t="n">
        <v>0.90389</v>
      </c>
      <c r="I10" s="9" t="n">
        <v>0.73594</v>
      </c>
      <c r="J10" s="9" t="n">
        <v>0.81318</v>
      </c>
      <c r="K10" s="9" t="n">
        <v>0.64739</v>
      </c>
      <c r="L10" s="10">
        <f>IFERROR((J10-$J$5)*100,"")</f>
        <v/>
      </c>
      <c r="M10" s="10">
        <f>IFERROR((K10-$K$5)*100,"")</f>
        <v/>
      </c>
      <c r="N10" s="8" t="inlineStr">
        <is>
          <t>减少下采样信息损失，补偿模糊、暗弱目标的频带响应。</t>
        </is>
      </c>
      <c r="O10" s="11" t="inlineStr">
        <is>
          <t>打开结果</t>
        </is>
      </c>
      <c r="P10" s="11" t="inlineStr">
        <is>
          <t>打开预测图</t>
        </is>
      </c>
    </row>
    <row r="11" ht="58" customHeight="1">
      <c r="A11" s="8" t="n">
        <v>7</v>
      </c>
      <c r="B11" s="8" t="inlineStr">
        <is>
          <t>F25 SPD+EMA</t>
        </is>
      </c>
      <c r="C11" s="8" t="inlineStr">
        <is>
          <t>注意力代表</t>
        </is>
      </c>
      <c r="D11" s="8" t="inlineStr">
        <is>
          <t>三处 SPDConv + P3 端 EMA 多尺度注意力</t>
        </is>
      </c>
      <c r="E11" s="8" t="n">
        <v>4.281</v>
      </c>
      <c r="F11" s="8" t="n">
        <v>13.96</v>
      </c>
      <c r="G11" s="8" t="n">
        <v>231</v>
      </c>
      <c r="H11" s="9" t="n">
        <v>0.8932</v>
      </c>
      <c r="I11" s="9" t="n">
        <v>0.74166</v>
      </c>
      <c r="J11" s="9" t="n">
        <v>0.81409</v>
      </c>
      <c r="K11" s="9" t="n">
        <v>0.64879</v>
      </c>
      <c r="L11" s="10">
        <f>IFERROR((J11-$J$5)*100,"")</f>
        <v/>
      </c>
      <c r="M11" s="10">
        <f>IFERROR((K11-$K$5)*100,"")</f>
        <v/>
      </c>
      <c r="N11" s="8" t="inlineStr">
        <is>
          <t>保留小目标像素信息，并增强弱响应目标。</t>
        </is>
      </c>
      <c r="O11" s="11" t="inlineStr">
        <is>
          <t>打开结果</t>
        </is>
      </c>
      <c r="P11" s="11" t="inlineStr">
        <is>
          <t>打开预测图</t>
        </is>
      </c>
    </row>
  </sheetData>
  <autoFilter ref="A4:P11"/>
  <mergeCells count="2">
    <mergeCell ref="A1:P1"/>
    <mergeCell ref="A2:P2"/>
  </mergeCells>
  <hyperlinks>
    <hyperlink xmlns:r="http://schemas.openxmlformats.org/officeDocument/2006/relationships" ref="O5" r:id="rId1"/>
    <hyperlink xmlns:r="http://schemas.openxmlformats.org/officeDocument/2006/relationships" ref="P5" r:id="rId2"/>
    <hyperlink xmlns:r="http://schemas.openxmlformats.org/officeDocument/2006/relationships" ref="O6" r:id="rId3"/>
    <hyperlink xmlns:r="http://schemas.openxmlformats.org/officeDocument/2006/relationships" ref="P6" r:id="rId4"/>
    <hyperlink xmlns:r="http://schemas.openxmlformats.org/officeDocument/2006/relationships" ref="O7" r:id="rId5"/>
    <hyperlink xmlns:r="http://schemas.openxmlformats.org/officeDocument/2006/relationships" ref="P7" r:id="rId6"/>
    <hyperlink xmlns:r="http://schemas.openxmlformats.org/officeDocument/2006/relationships" ref="O8" r:id="rId7"/>
    <hyperlink xmlns:r="http://schemas.openxmlformats.org/officeDocument/2006/relationships" ref="P8" r:id="rId8"/>
    <hyperlink xmlns:r="http://schemas.openxmlformats.org/officeDocument/2006/relationships" ref="O9" r:id="rId9"/>
    <hyperlink xmlns:r="http://schemas.openxmlformats.org/officeDocument/2006/relationships" ref="P9" r:id="rId10"/>
    <hyperlink xmlns:r="http://schemas.openxmlformats.org/officeDocument/2006/relationships" ref="O10" r:id="rId11"/>
    <hyperlink xmlns:r="http://schemas.openxmlformats.org/officeDocument/2006/relationships" ref="P10" r:id="rId12"/>
    <hyperlink xmlns:r="http://schemas.openxmlformats.org/officeDocument/2006/relationships" ref="O11" r:id="rId13"/>
    <hyperlink xmlns:r="http://schemas.openxmlformats.org/officeDocument/2006/relationships" ref="P11" r:id="rId14"/>
  </hyperlinks>
  <pageMargins left="0.75" right="0.75" top="1" bottom="1" header="0.5" footer="0.5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0" customWidth="1" min="3" max="3"/>
    <col width="29" customWidth="1" min="4" max="4"/>
    <col width="11" customWidth="1" min="5" max="5"/>
    <col width="13" customWidth="1" min="6" max="6"/>
    <col width="13" customWidth="1" min="7" max="7"/>
    <col width="16" customWidth="1" min="8" max="8"/>
    <col width="18" customWidth="1" min="9" max="9"/>
    <col width="16" customWidth="1" min="10" max="10"/>
    <col width="18" customWidth="1" min="11" max="11"/>
    <col width="13" customWidth="1" min="12" max="12"/>
    <col width="13" customWidth="1" min="13" max="13"/>
    <col width="17" customWidth="1" min="14" max="14"/>
    <col width="19" customWidth="1" min="15" max="15"/>
    <col width="12" customWidth="1" min="16" max="16"/>
    <col width="13" customWidth="1" min="17" max="17"/>
    <col width="19" customWidth="1" min="18" max="18"/>
    <col width="18" customWidth="1" min="19" max="19"/>
    <col width="13" customWidth="1" min="20" max="20"/>
    <col width="45" customWidth="1" min="21" max="21"/>
  </cols>
  <sheetData>
    <row r="1" ht="28" customHeight="1">
      <c r="A1" s="1" t="inlineStr">
        <is>
          <t>当前文件夹内已完成的基线与历史结构对照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38" customHeight="1">
      <c r="A2" s="3" t="inlineStr">
        <is>
          <t>YOLO 行为 Ultralytics val 峰值；Mask R-CNN/U-Net 同时列出 COCO evaluator 的 val 与 test。空白表示本地未发现对应结果。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34" customHeight="1">
      <c r="A4" s="1" t="inlineStr">
        <is>
          <t>模型</t>
        </is>
      </c>
      <c r="B4" s="1" t="inlineStr">
        <is>
          <t>角色</t>
        </is>
      </c>
      <c r="C4" s="1" t="inlineStr">
        <is>
          <t>Run</t>
        </is>
      </c>
      <c r="D4" s="1" t="inlineStr">
        <is>
          <t>状态/评估集</t>
        </is>
      </c>
      <c r="E4" s="1" t="inlineStr">
        <is>
          <t>最佳Epoch</t>
        </is>
      </c>
      <c r="F4" s="1" t="inlineStr">
        <is>
          <t>Val Mask P</t>
        </is>
      </c>
      <c r="G4" s="1" t="inlineStr">
        <is>
          <t>Val Mask R</t>
        </is>
      </c>
      <c r="H4" s="1" t="inlineStr">
        <is>
          <t>Val Mask mAP50</t>
        </is>
      </c>
      <c r="I4" s="1" t="inlineStr">
        <is>
          <t>Val Mask mAP50-95</t>
        </is>
      </c>
      <c r="J4" s="1" t="inlineStr">
        <is>
          <t>Val Box mAP50</t>
        </is>
      </c>
      <c r="K4" s="1" t="inlineStr">
        <is>
          <t>Val Box mAP50-95</t>
        </is>
      </c>
      <c r="L4" s="1" t="inlineStr">
        <is>
          <t>Test Mask P</t>
        </is>
      </c>
      <c r="M4" s="1" t="inlineStr">
        <is>
          <t>Test Mask R</t>
        </is>
      </c>
      <c r="N4" s="1" t="inlineStr">
        <is>
          <t>Test Mask mAP50</t>
        </is>
      </c>
      <c r="O4" s="1" t="inlineStr">
        <is>
          <t>Test Mask mAP50-95</t>
        </is>
      </c>
      <c r="P4" s="1" t="inlineStr">
        <is>
          <t>Params (M)</t>
        </is>
      </c>
      <c r="Q4" s="1" t="inlineStr">
        <is>
          <t>GFLOPs@640</t>
        </is>
      </c>
      <c r="R4" s="1" t="inlineStr">
        <is>
          <t>Test Semantic Dice</t>
        </is>
      </c>
      <c r="S4" s="1" t="inlineStr">
        <is>
          <t>Test Semantic IoU</t>
        </is>
      </c>
      <c r="T4" s="1" t="inlineStr">
        <is>
          <t>结果源</t>
        </is>
      </c>
      <c r="U4" s="1" t="inlineStr">
        <is>
          <t>说明</t>
        </is>
      </c>
    </row>
    <row r="5" ht="48" customHeight="1">
      <c r="A5" s="2" t="inlineStr">
        <is>
          <t>YOLOv8n-seg</t>
        </is>
      </c>
      <c r="B5" s="2" t="inlineStr">
        <is>
          <t>YOLO 官方轻量基线</t>
        </is>
      </c>
      <c r="C5" s="2" t="inlineStr">
        <is>
          <t>001_1_yolov8-seg_adamw</t>
        </is>
      </c>
      <c r="D5" s="2" t="inlineStr">
        <is>
          <t>已有历史结果（旧协议、val）</t>
        </is>
      </c>
      <c r="E5" s="2" t="n">
        <v>277</v>
      </c>
      <c r="F5" s="12" t="n">
        <v>0.88624</v>
      </c>
      <c r="G5" s="12" t="n">
        <v>0.7245</v>
      </c>
      <c r="H5" s="12" t="n">
        <v>0.79269</v>
      </c>
      <c r="I5" s="12" t="n">
        <v>0.61675</v>
      </c>
      <c r="J5" s="12" t="n">
        <v>0.78873</v>
      </c>
      <c r="K5" s="12" t="n">
        <v>0.6422</v>
      </c>
      <c r="L5" s="12" t="n"/>
      <c r="M5" s="12" t="n"/>
      <c r="N5" s="12" t="n"/>
      <c r="O5" s="12" t="n"/>
      <c r="P5" s="2" t="n">
        <v>3.264</v>
      </c>
      <c r="Q5" s="2" t="n">
        <v>12.11</v>
      </c>
      <c r="R5" s="12" t="n"/>
      <c r="S5" s="12" t="n"/>
      <c r="T5" s="13" t="inlineStr">
        <is>
          <t>打开结果</t>
        </is>
      </c>
      <c r="U5" s="2" t="inlineStr">
        <is>
          <t>峰值行按 Mask mAP50-95 选择；未见统一 test 结果。</t>
        </is>
      </c>
    </row>
    <row r="6" ht="48" customHeight="1">
      <c r="A6" s="2" t="inlineStr">
        <is>
          <t>YOLOv9c-seg</t>
        </is>
      </c>
      <c r="B6" s="2" t="inlineStr">
        <is>
          <t>YOLO 历史精度参照</t>
        </is>
      </c>
      <c r="C6" s="2" t="inlineStr">
        <is>
          <t>001_2_yolov9c-seg_adamw</t>
        </is>
      </c>
      <c r="D6" s="2" t="inlineStr">
        <is>
          <t>已有历史结果（旧协议、val）</t>
        </is>
      </c>
      <c r="E6" s="2" t="n">
        <v>222</v>
      </c>
      <c r="F6" s="12" t="n">
        <v>0.8852</v>
      </c>
      <c r="G6" s="12" t="n">
        <v>0.78074</v>
      </c>
      <c r="H6" s="12" t="n">
        <v>0.8373</v>
      </c>
      <c r="I6" s="12" t="n">
        <v>0.6817299999999999</v>
      </c>
      <c r="J6" s="12" t="n">
        <v>0.84371</v>
      </c>
      <c r="K6" s="12" t="n">
        <v>0.71604</v>
      </c>
      <c r="L6" s="12" t="n"/>
      <c r="M6" s="12" t="n"/>
      <c r="N6" s="12" t="n"/>
      <c r="O6" s="12" t="n"/>
      <c r="P6" s="2" t="n">
        <v>27.836</v>
      </c>
      <c r="Q6" s="2" t="n">
        <v>159.07</v>
      </c>
      <c r="R6" s="12" t="n"/>
      <c r="S6" s="12" t="n"/>
      <c r="T6" s="13" t="inlineStr">
        <is>
          <t>打开结果</t>
        </is>
      </c>
      <c r="U6" s="2" t="inlineStr">
        <is>
          <t>峰值行按 Mask mAP50-95 选择；未见统一 test 结果。</t>
        </is>
      </c>
    </row>
    <row r="7" ht="48" customHeight="1">
      <c r="A7" s="4" t="inlineStr">
        <is>
          <t>YOLO11n-seg</t>
        </is>
      </c>
      <c r="B7" s="4" t="inlineStr">
        <is>
          <t>主消融基线</t>
        </is>
      </c>
      <c r="C7" s="4" t="inlineStr">
        <is>
          <t>001_3_yolo11-seg_adamw</t>
        </is>
      </c>
      <c r="D7" s="4" t="inlineStr">
        <is>
          <t>已有历史结果（旧协议、val）</t>
        </is>
      </c>
      <c r="E7" s="4" t="n">
        <v>252</v>
      </c>
      <c r="F7" s="5" t="n">
        <v>0.9218</v>
      </c>
      <c r="G7" s="5" t="n">
        <v>0.70162</v>
      </c>
      <c r="H7" s="5" t="n">
        <v>0.78635</v>
      </c>
      <c r="I7" s="5" t="n">
        <v>0.62076</v>
      </c>
      <c r="J7" s="5" t="n">
        <v>0.79436</v>
      </c>
      <c r="K7" s="5" t="n">
        <v>0.64016</v>
      </c>
      <c r="L7" s="5" t="n"/>
      <c r="M7" s="5" t="n"/>
      <c r="N7" s="5" t="n"/>
      <c r="O7" s="5" t="n"/>
      <c r="P7" s="4" t="n">
        <v>2.843</v>
      </c>
      <c r="Q7" s="4" t="n">
        <v>10.36</v>
      </c>
      <c r="R7" s="5" t="n"/>
      <c r="S7" s="5" t="n"/>
      <c r="T7" s="7" t="inlineStr">
        <is>
          <t>打开结果</t>
        </is>
      </c>
      <c r="U7" s="4" t="inlineStr">
        <is>
          <t>峰值行按 Mask mAP50-95 选择；未见统一 test 结果。</t>
        </is>
      </c>
    </row>
    <row r="8" ht="48" customHeight="1">
      <c r="A8" s="2" t="inlineStr">
        <is>
          <t>YOLO12n-seg</t>
        </is>
      </c>
      <c r="B8" s="2" t="inlineStr">
        <is>
          <t>YOLO 代际参照</t>
        </is>
      </c>
      <c r="C8" s="2" t="inlineStr">
        <is>
          <t>001_4_yolo12-seg_adamw</t>
        </is>
      </c>
      <c r="D8" s="2" t="inlineStr">
        <is>
          <t>已有历史结果（旧协议、val）</t>
        </is>
      </c>
      <c r="E8" s="2" t="n">
        <v>250</v>
      </c>
      <c r="F8" s="12" t="n">
        <v>0.91007</v>
      </c>
      <c r="G8" s="12" t="n">
        <v>0.70425</v>
      </c>
      <c r="H8" s="12" t="n">
        <v>0.78975</v>
      </c>
      <c r="I8" s="12" t="n">
        <v>0.61466</v>
      </c>
      <c r="J8" s="12" t="n">
        <v>0.79149</v>
      </c>
      <c r="K8" s="12" t="n">
        <v>0.63745</v>
      </c>
      <c r="L8" s="12" t="n"/>
      <c r="M8" s="12" t="n"/>
      <c r="N8" s="12" t="n"/>
      <c r="O8" s="12" t="n"/>
      <c r="P8" s="2" t="n">
        <v>2.821</v>
      </c>
      <c r="Q8" s="2" t="n">
        <v>10.39</v>
      </c>
      <c r="R8" s="12" t="n"/>
      <c r="S8" s="12" t="n"/>
      <c r="T8" s="13" t="inlineStr">
        <is>
          <t>打开结果</t>
        </is>
      </c>
      <c r="U8" s="2" t="inlineStr">
        <is>
          <t>峰值行按 Mask mAP50-95 选择；未见统一 test 结果。</t>
        </is>
      </c>
    </row>
    <row r="9" ht="48" customHeight="1">
      <c r="A9" s="2" t="inlineStr">
        <is>
          <t>YOLO26n-seg</t>
        </is>
      </c>
      <c r="B9" s="2" t="inlineStr">
        <is>
          <t>YOLO 代际参照</t>
        </is>
      </c>
      <c r="C9" s="2" t="inlineStr">
        <is>
          <t>001_5_yolo26-seg_adamw</t>
        </is>
      </c>
      <c r="D9" s="2" t="inlineStr">
        <is>
          <t>已有历史结果（旧协议、val）</t>
        </is>
      </c>
      <c r="E9" s="2" t="n">
        <v>282</v>
      </c>
      <c r="F9" s="12" t="n">
        <v>0.88042</v>
      </c>
      <c r="G9" s="12" t="n">
        <v>0.67779</v>
      </c>
      <c r="H9" s="12" t="n">
        <v>0.76301</v>
      </c>
      <c r="I9" s="12" t="n">
        <v>0.5964</v>
      </c>
      <c r="J9" s="12" t="n">
        <v>0.76524</v>
      </c>
      <c r="K9" s="12" t="n">
        <v>0.59282</v>
      </c>
      <c r="L9" s="12" t="n"/>
      <c r="M9" s="12" t="n"/>
      <c r="N9" s="12" t="n"/>
      <c r="O9" s="12" t="n"/>
      <c r="P9" s="2" t="n">
        <v>3.053</v>
      </c>
      <c r="Q9" s="2" t="n">
        <v>10.79</v>
      </c>
      <c r="R9" s="12" t="n"/>
      <c r="S9" s="12" t="n"/>
      <c r="T9" s="13" t="inlineStr">
        <is>
          <t>打开结果</t>
        </is>
      </c>
      <c r="U9" s="2" t="inlineStr">
        <is>
          <t>峰值行按 Mask mAP50-95 选择；未见统一 test 结果。</t>
        </is>
      </c>
    </row>
    <row r="10" ht="48" customHeight="1">
      <c r="A10" s="2" t="inlineStr">
        <is>
          <t>YOLO11-StarNet-s1</t>
        </is>
      </c>
      <c r="B10" s="2" t="inlineStr">
        <is>
          <t>替换骨干对照</t>
        </is>
      </c>
      <c r="C10" s="2" t="inlineStr">
        <is>
          <t>002_1_yolo11-starnet_s1</t>
        </is>
      </c>
      <c r="D10" s="2" t="inlineStr">
        <is>
          <t>已有历史结果（旧协议、val）</t>
        </is>
      </c>
      <c r="E10" s="2" t="n">
        <v>290</v>
      </c>
      <c r="F10" s="12" t="n">
        <v>0.92849</v>
      </c>
      <c r="G10" s="12" t="n">
        <v>0.6606300000000001</v>
      </c>
      <c r="H10" s="12" t="n">
        <v>0.772</v>
      </c>
      <c r="I10" s="12" t="n">
        <v>0.59781</v>
      </c>
      <c r="J10" s="12" t="n">
        <v>0.77576</v>
      </c>
      <c r="K10" s="12" t="n">
        <v>0.61202</v>
      </c>
      <c r="L10" s="12" t="n"/>
      <c r="M10" s="12" t="n"/>
      <c r="N10" s="12" t="n"/>
      <c r="O10" s="12" t="n"/>
      <c r="P10" s="2" t="n">
        <v>4.511</v>
      </c>
      <c r="Q10" s="2" t="n">
        <v>14.43</v>
      </c>
      <c r="R10" s="12" t="n"/>
      <c r="S10" s="12" t="n"/>
      <c r="T10" s="13" t="inlineStr">
        <is>
          <t>打开结果</t>
        </is>
      </c>
      <c r="U10" s="2" t="inlineStr">
        <is>
          <t>峰值行按 Mask mAP50-95 选择；未见统一 test 结果。</t>
        </is>
      </c>
    </row>
    <row r="11" ht="48" customHeight="1">
      <c r="A11" s="2" t="inlineStr">
        <is>
          <t>YOLO11-StarNet-s2</t>
        </is>
      </c>
      <c r="B11" s="2" t="inlineStr">
        <is>
          <t>替换骨干对照</t>
        </is>
      </c>
      <c r="C11" s="2" t="inlineStr">
        <is>
          <t>002_2_yolo11-starnet_s2</t>
        </is>
      </c>
      <c r="D11" s="2" t="inlineStr">
        <is>
          <t>已有历史结果（旧协议、val）</t>
        </is>
      </c>
      <c r="E11" s="2" t="n">
        <v>258</v>
      </c>
      <c r="F11" s="12" t="n">
        <v>0.9465</v>
      </c>
      <c r="G11" s="12" t="n">
        <v>0.6578000000000001</v>
      </c>
      <c r="H11" s="12" t="n">
        <v>0.76186</v>
      </c>
      <c r="I11" s="12" t="n">
        <v>0.59489</v>
      </c>
      <c r="J11" s="12" t="n">
        <v>0.76608</v>
      </c>
      <c r="K11" s="12" t="n">
        <v>0.60137</v>
      </c>
      <c r="L11" s="12" t="n"/>
      <c r="M11" s="12" t="n"/>
      <c r="N11" s="12" t="n"/>
      <c r="O11" s="12" t="n"/>
      <c r="P11" s="2" t="n">
        <v>5.312</v>
      </c>
      <c r="Q11" s="2" t="n">
        <v>16.49</v>
      </c>
      <c r="R11" s="12" t="n"/>
      <c r="S11" s="12" t="n"/>
      <c r="T11" s="13" t="inlineStr">
        <is>
          <t>打开结果</t>
        </is>
      </c>
      <c r="U11" s="2" t="inlineStr">
        <is>
          <t>峰值行按 Mask mAP50-95 选择；未见统一 test 结果。</t>
        </is>
      </c>
    </row>
    <row r="12" ht="48" customHeight="1">
      <c r="A12" s="2" t="inlineStr">
        <is>
          <t>YOLO11-MobileNetV4</t>
        </is>
      </c>
      <c r="B12" s="2" t="inlineStr">
        <is>
          <t>移动端骨干对照</t>
        </is>
      </c>
      <c r="C12" s="2" t="inlineStr">
        <is>
          <t>003_1_yolo11-mobilenetv4</t>
        </is>
      </c>
      <c r="D12" s="2" t="inlineStr">
        <is>
          <t>已有历史结果（旧协议、val）</t>
        </is>
      </c>
      <c r="E12" s="2" t="n">
        <v>227</v>
      </c>
      <c r="F12" s="12" t="n">
        <v>0.91699</v>
      </c>
      <c r="G12" s="12" t="n">
        <v>0.65872</v>
      </c>
      <c r="H12" s="12" t="n">
        <v>0.758</v>
      </c>
      <c r="I12" s="12" t="n">
        <v>0.58844</v>
      </c>
      <c r="J12" s="12" t="n">
        <v>0.76249</v>
      </c>
      <c r="K12" s="12" t="n">
        <v>0.60278</v>
      </c>
      <c r="L12" s="12" t="n"/>
      <c r="M12" s="12" t="n"/>
      <c r="N12" s="12" t="n"/>
      <c r="O12" s="12" t="n"/>
      <c r="P12" s="2" t="n">
        <v>3.68</v>
      </c>
      <c r="Q12" s="2" t="n">
        <v>11.81</v>
      </c>
      <c r="R12" s="12" t="n"/>
      <c r="S12" s="12" t="n"/>
      <c r="T12" s="13" t="inlineStr">
        <is>
          <t>打开结果</t>
        </is>
      </c>
      <c r="U12" s="2" t="inlineStr">
        <is>
          <t>峰值行按 Mask mAP50-95 选择；未见统一 test 结果。</t>
        </is>
      </c>
    </row>
    <row r="13" ht="48" customHeight="1">
      <c r="A13" s="2" t="inlineStr">
        <is>
          <t>YOLO11-MANO</t>
        </is>
      </c>
      <c r="B13" s="2" t="inlineStr">
        <is>
          <t>注意力对照</t>
        </is>
      </c>
      <c r="C13" s="2" t="inlineStr">
        <is>
          <t>004_1_yolo11-mano(attn)</t>
        </is>
      </c>
      <c r="D13" s="2" t="inlineStr">
        <is>
          <t>已有历史结果（旧协议、val）</t>
        </is>
      </c>
      <c r="E13" s="2" t="n">
        <v>245</v>
      </c>
      <c r="F13" s="12" t="n">
        <v>0.84595</v>
      </c>
      <c r="G13" s="12" t="n">
        <v>0.72545</v>
      </c>
      <c r="H13" s="12" t="n">
        <v>0.7880200000000001</v>
      </c>
      <c r="I13" s="12" t="n">
        <v>0.61488</v>
      </c>
      <c r="J13" s="12" t="n">
        <v>0.793</v>
      </c>
      <c r="K13" s="12" t="n">
        <v>0.63727</v>
      </c>
      <c r="L13" s="12" t="n"/>
      <c r="M13" s="12" t="n"/>
      <c r="N13" s="12" t="n"/>
      <c r="O13" s="12" t="n"/>
      <c r="P13" s="2" t="n">
        <v>2.989</v>
      </c>
      <c r="Q13" s="2" t="n">
        <v>11.16</v>
      </c>
      <c r="R13" s="12" t="n"/>
      <c r="S13" s="12" t="n"/>
      <c r="T13" s="13" t="inlineStr">
        <is>
          <t>打开结果</t>
        </is>
      </c>
      <c r="U13" s="2" t="inlineStr">
        <is>
          <t>峰值行按 Mask mAP50-95 选择；未见统一 test 结果。</t>
        </is>
      </c>
    </row>
    <row r="14" ht="48" customHeight="1">
      <c r="A14" s="2" t="inlineStr">
        <is>
          <t>Mask R-CNN R50-FPN (Torchvision)</t>
        </is>
      </c>
      <c r="B14" s="2" t="inlineStr">
        <is>
          <t>经典两阶段实例分割</t>
        </is>
      </c>
      <c r="C14" s="2" t="inlineStr">
        <is>
          <t>001_6_maskrcnn_r50_fpn_seed42</t>
        </is>
      </c>
      <c r="D14" s="2" t="inlineStr">
        <is>
          <t>已有历史结果（旧协议、val+test）</t>
        </is>
      </c>
      <c r="E14" s="2" t="n">
        <v>200</v>
      </c>
      <c r="F14" s="12" t="n">
        <v>0.792183031458532</v>
      </c>
      <c r="G14" s="12" t="n">
        <v>0.8584710743801653</v>
      </c>
      <c r="H14" s="12" t="n">
        <v>0.8431851155249955</v>
      </c>
      <c r="I14" s="12" t="n">
        <v>0.7311574865690086</v>
      </c>
      <c r="J14" s="12" t="n">
        <v>0.8439620485715654</v>
      </c>
      <c r="K14" s="12" t="n">
        <v>0.7028354794244707</v>
      </c>
      <c r="L14" s="12" t="n">
        <v>0.8148148148148148</v>
      </c>
      <c r="M14" s="12" t="n">
        <v>0.7674418604651163</v>
      </c>
      <c r="N14" s="12" t="n">
        <v>0.7650567090300786</v>
      </c>
      <c r="O14" s="12" t="n">
        <v>0.6498078033659537</v>
      </c>
      <c r="P14" s="2" t="n">
        <v>43.975515</v>
      </c>
      <c r="Q14" s="2" t="n"/>
      <c r="R14" s="12" t="n"/>
      <c r="S14" s="12" t="n"/>
      <c r="T14" s="13" t="inlineStr">
        <is>
          <t>打开结果</t>
        </is>
      </c>
      <c r="U14" s="2" t="inlineStr">
        <is>
          <t>COCO evaluator；测试集为 94 图。</t>
        </is>
      </c>
    </row>
    <row r="15" ht="48" customHeight="1">
      <c r="A15" s="2" t="inlineStr">
        <is>
          <t>U-Net R18 + Watershed</t>
        </is>
      </c>
      <c r="B15" s="2" t="inlineStr">
        <is>
          <t>语义转实例辅助基线</t>
        </is>
      </c>
      <c r="C15" s="2" t="inlineStr">
        <is>
          <t>E_unet_r18_watershed_seed42</t>
        </is>
      </c>
      <c r="D15" s="2" t="inlineStr">
        <is>
          <t>已有历史结果（旧协议、val+test）</t>
        </is>
      </c>
      <c r="E15" s="2" t="n">
        <v>230</v>
      </c>
      <c r="F15" s="12" t="n">
        <v>0.7758620689655172</v>
      </c>
      <c r="G15" s="12" t="n">
        <v>0.7438016528925619</v>
      </c>
      <c r="H15" s="12" t="n">
        <v>0.7124468560552367</v>
      </c>
      <c r="I15" s="12" t="n">
        <v>0.5791482714202163</v>
      </c>
      <c r="J15" s="12" t="n">
        <v>0.6886341299847559</v>
      </c>
      <c r="K15" s="12" t="n">
        <v>0.5501607476974616</v>
      </c>
      <c r="L15" s="12" t="n">
        <v>0.76431718061674</v>
      </c>
      <c r="M15" s="12" t="n">
        <v>0.6724806201550387</v>
      </c>
      <c r="N15" s="12" t="n">
        <v>0.6259270281497044</v>
      </c>
      <c r="O15" s="12" t="n">
        <v>0.4963619126722373</v>
      </c>
      <c r="P15" s="2" t="n">
        <v>14.328209</v>
      </c>
      <c r="Q15" s="2" t="n"/>
      <c r="R15" s="12" t="n">
        <v>0.9544832287939434</v>
      </c>
      <c r="S15" s="12" t="n">
        <v>0.9129296551502336</v>
      </c>
      <c r="T15" s="13" t="inlineStr">
        <is>
          <t>打开结果</t>
        </is>
      </c>
      <c r="U15" s="2" t="inlineStr">
        <is>
          <t>COCO evaluator；U-Net 经 marker-controlled watershed 转为实例后评估。</t>
        </is>
      </c>
    </row>
  </sheetData>
  <autoFilter ref="A4:U15"/>
  <mergeCells count="2">
    <mergeCell ref="A1:U1"/>
    <mergeCell ref="A2:U2"/>
  </mergeCells>
  <hyperlinks>
    <hyperlink xmlns:r="http://schemas.openxmlformats.org/officeDocument/2006/relationships" ref="T5" r:id="rId1"/>
    <hyperlink xmlns:r="http://schemas.openxmlformats.org/officeDocument/2006/relationships" ref="T6" r:id="rId2"/>
    <hyperlink xmlns:r="http://schemas.openxmlformats.org/officeDocument/2006/relationships" ref="T7" r:id="rId3"/>
    <hyperlink xmlns:r="http://schemas.openxmlformats.org/officeDocument/2006/relationships" ref="T8" r:id="rId4"/>
    <hyperlink xmlns:r="http://schemas.openxmlformats.org/officeDocument/2006/relationships" ref="T9" r:id="rId5"/>
    <hyperlink xmlns:r="http://schemas.openxmlformats.org/officeDocument/2006/relationships" ref="T10" r:id="rId6"/>
    <hyperlink xmlns:r="http://schemas.openxmlformats.org/officeDocument/2006/relationships" ref="T11" r:id="rId7"/>
    <hyperlink xmlns:r="http://schemas.openxmlformats.org/officeDocument/2006/relationships" ref="T12" r:id="rId8"/>
    <hyperlink xmlns:r="http://schemas.openxmlformats.org/officeDocument/2006/relationships" ref="T13" r:id="rId9"/>
    <hyperlink xmlns:r="http://schemas.openxmlformats.org/officeDocument/2006/relationships" ref="T14" r:id="rId10"/>
    <hyperlink xmlns:r="http://schemas.openxmlformats.org/officeDocument/2006/relationships" ref="T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5" customWidth="1" min="3" max="3"/>
    <col width="34" customWidth="1" min="4" max="4"/>
    <col width="39" customWidth="1" min="5" max="5"/>
    <col width="12" customWidth="1" min="6" max="6"/>
    <col width="12" customWidth="1" min="7" max="7"/>
    <col width="43" customWidth="1" min="8" max="8"/>
    <col width="28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3" customWidth="1" min="29" max="29"/>
    <col width="20" customWidth="1" min="30" max="30"/>
    <col width="20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70" customWidth="1" min="39" max="39"/>
  </cols>
  <sheetData>
    <row r="1" ht="28" customHeight="1">
      <c r="A1" s="1" t="inlineStr">
        <is>
          <t>非 YOLO 基线结果与文件位置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 ht="38" customHeight="1">
      <c r="A2" s="3" t="inlineStr">
        <is>
          <t>完成结果集中在 results/A_baselines/old_data_runs/002_retrain。绿色行为已找到训练权重和指标；灰色行只找到配置或 dry-run 记录，未填造结果。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 ht="34" customHeight="1">
      <c r="A4" s="1" t="inlineStr">
        <is>
          <t>模型</t>
        </is>
      </c>
      <c r="B4" s="1" t="inlineStr">
        <is>
          <t>框架/路线</t>
        </is>
      </c>
      <c r="C4" s="1" t="inlineStr">
        <is>
          <t>角色</t>
        </is>
      </c>
      <c r="D4" s="1" t="inlineStr">
        <is>
          <t>状态</t>
        </is>
      </c>
      <c r="E4" s="1" t="inlineStr">
        <is>
          <t>Run</t>
        </is>
      </c>
      <c r="F4" s="1" t="inlineStr">
        <is>
          <t>训练Epoch</t>
        </is>
      </c>
      <c r="G4" s="1" t="inlineStr">
        <is>
          <t>最佳Epoch</t>
        </is>
      </c>
      <c r="H4" s="1" t="inlineStr">
        <is>
          <t>数据规模</t>
        </is>
      </c>
      <c r="I4" s="1" t="inlineStr">
        <is>
          <t>训练环境</t>
        </is>
      </c>
      <c r="J4" s="1" t="inlineStr">
        <is>
          <t>Val Mask P</t>
        </is>
      </c>
      <c r="K4" s="1" t="inlineStr">
        <is>
          <t>Val Mask R</t>
        </is>
      </c>
      <c r="L4" s="1" t="inlineStr">
        <is>
          <t>Val Mask F1</t>
        </is>
      </c>
      <c r="M4" s="1" t="inlineStr">
        <is>
          <t>Val Mask mAP50</t>
        </is>
      </c>
      <c r="N4" s="1" t="inlineStr">
        <is>
          <t>Val Mask mAP50-95</t>
        </is>
      </c>
      <c r="O4" s="1" t="inlineStr">
        <is>
          <t>Val Mask AP75</t>
        </is>
      </c>
      <c r="P4" s="1" t="inlineStr">
        <is>
          <t>Test Mask P</t>
        </is>
      </c>
      <c r="Q4" s="1" t="inlineStr">
        <is>
          <t>Test Mask R</t>
        </is>
      </c>
      <c r="R4" s="1" t="inlineStr">
        <is>
          <t>Test Mask F1</t>
        </is>
      </c>
      <c r="S4" s="1" t="inlineStr">
        <is>
          <t>Test Mask mAP50</t>
        </is>
      </c>
      <c r="T4" s="1" t="inlineStr">
        <is>
          <t>Test Mask mAP50-95</t>
        </is>
      </c>
      <c r="U4" s="1" t="inlineStr">
        <is>
          <t>Test Mask AP75</t>
        </is>
      </c>
      <c r="V4" s="1" t="inlineStr">
        <is>
          <t>Test AP-S</t>
        </is>
      </c>
      <c r="W4" s="1" t="inlineStr">
        <is>
          <t>Test AP-M</t>
        </is>
      </c>
      <c r="X4" s="1" t="inlineStr">
        <is>
          <t>Test AP-L</t>
        </is>
      </c>
      <c r="Y4" s="1" t="inlineStr">
        <is>
          <t>Test Box mAP50</t>
        </is>
      </c>
      <c r="Z4" s="1" t="inlineStr">
        <is>
          <t>Test Box mAP50-95</t>
        </is>
      </c>
      <c r="AA4" s="1" t="inlineStr">
        <is>
          <t>Test Semantic Dice</t>
        </is>
      </c>
      <c r="AB4" s="1" t="inlineStr">
        <is>
          <t>Test Semantic IoU</t>
        </is>
      </c>
      <c r="AC4" s="1" t="inlineStr">
        <is>
          <t>Params (M)</t>
        </is>
      </c>
      <c r="AD4" s="1" t="inlineStr">
        <is>
          <t>Test Latency ms/img</t>
        </is>
      </c>
      <c r="AE4" s="1" t="inlineStr">
        <is>
          <t>Test Peak VRAM MB</t>
        </is>
      </c>
      <c r="AF4" s="1" t="inlineStr">
        <is>
          <t>最佳权重</t>
        </is>
      </c>
      <c r="AG4" s="1" t="inlineStr">
        <is>
          <t>训练历史</t>
        </is>
      </c>
      <c r="AH4" s="1" t="inlineStr">
        <is>
          <t>运行元数据</t>
        </is>
      </c>
      <c r="AI4" s="1" t="inlineStr">
        <is>
          <t>Val 指标</t>
        </is>
      </c>
      <c r="AJ4" s="1" t="inlineStr">
        <is>
          <t>Test 指标</t>
        </is>
      </c>
      <c r="AK4" s="1" t="inlineStr">
        <is>
          <t>Test 预测</t>
        </is>
      </c>
      <c r="AL4" s="1" t="inlineStr">
        <is>
          <t>配置/启动脚本</t>
        </is>
      </c>
      <c r="AM4" s="1" t="inlineStr">
        <is>
          <t>定位说明</t>
        </is>
      </c>
    </row>
    <row r="5" ht="68" customHeight="1">
      <c r="A5" s="8" t="inlineStr">
        <is>
          <t>Mask R-CNN R50-FPN (Torchvision)</t>
        </is>
      </c>
      <c r="B5" s="8" t="inlineStr">
        <is>
          <t>Torchvision</t>
        </is>
      </c>
      <c r="C5" s="8" t="inlineStr">
        <is>
          <t>经典两阶段实例分割</t>
        </is>
      </c>
      <c r="D5" s="8" t="inlineStr">
        <is>
          <t>已完成：300 epoch、val、test</t>
        </is>
      </c>
      <c r="E5" s="8" t="inlineStr">
        <is>
          <t>001_6_maskrcnn_r50_fpn_seed42</t>
        </is>
      </c>
      <c r="F5" s="8" t="n">
        <v>300</v>
      </c>
      <c r="G5" s="8" t="n">
        <v>200</v>
      </c>
      <c r="H5" s="8" t="inlineStr">
        <is>
          <t>citrus_prepared（旧划分）train/val/test=659/188/94</t>
        </is>
      </c>
      <c r="I5" s="8" t="inlineStr">
        <is>
          <t>Torch 1.13.1+cu117 / CUDA 11.7</t>
        </is>
      </c>
      <c r="J5" s="9" t="n">
        <v>0.792183031458532</v>
      </c>
      <c r="K5" s="9" t="n">
        <v>0.8584710743801653</v>
      </c>
      <c r="L5" s="9" t="n">
        <v>0.8239960337134359</v>
      </c>
      <c r="M5" s="9" t="n">
        <v>0.8431851155249955</v>
      </c>
      <c r="N5" s="9" t="n">
        <v>0.7311574865690086</v>
      </c>
      <c r="O5" s="9" t="n">
        <v>0.8030085814375182</v>
      </c>
      <c r="P5" s="9" t="n">
        <v>0.8148148148148148</v>
      </c>
      <c r="Q5" s="9" t="n">
        <v>0.7674418604651163</v>
      </c>
      <c r="R5" s="9" t="n">
        <v>0.7904191616766467</v>
      </c>
      <c r="S5" s="9" t="n">
        <v>0.7650567090300786</v>
      </c>
      <c r="T5" s="9" t="n">
        <v>0.6498078033659537</v>
      </c>
      <c r="U5" s="9" t="n">
        <v>0.6935944900811563</v>
      </c>
      <c r="V5" s="9" t="n">
        <v>0</v>
      </c>
      <c r="W5" s="9" t="n">
        <v>0.1367217528430879</v>
      </c>
      <c r="X5" s="9" t="n">
        <v>0.8031565852863111</v>
      </c>
      <c r="Y5" s="9" t="n">
        <v>0.7661718409252173</v>
      </c>
      <c r="Z5" s="9" t="n">
        <v>0.6356744913148169</v>
      </c>
      <c r="AA5" s="9" t="n"/>
      <c r="AB5" s="9" t="n"/>
      <c r="AC5" s="14" t="n">
        <v>43.975515</v>
      </c>
      <c r="AD5" s="14" t="n">
        <v>78.85147185322452</v>
      </c>
      <c r="AE5" s="14" t="n">
        <v>3712.8017578125</v>
      </c>
      <c r="AF5" s="11" t="inlineStr">
        <is>
          <t>打开权重</t>
        </is>
      </c>
      <c r="AG5" s="11" t="inlineStr">
        <is>
          <t>打开历史</t>
        </is>
      </c>
      <c r="AH5" s="11" t="inlineStr">
        <is>
          <t>打开元数据</t>
        </is>
      </c>
      <c r="AI5" s="11" t="inlineStr">
        <is>
          <t>打开 Val 指标</t>
        </is>
      </c>
      <c r="AJ5" s="11" t="inlineStr">
        <is>
          <t>打开 Test 指标</t>
        </is>
      </c>
      <c r="AK5" s="11" t="inlineStr">
        <is>
          <t>打开预测</t>
        </is>
      </c>
      <c r="AL5" s="11" t="inlineStr">
        <is>
          <t>打开配置/脚本</t>
        </is>
      </c>
      <c r="AM5" s="8" t="inlineStr">
        <is>
          <t>Mask R-CNN 使用 COCO 初始化、R50-FPN、COCO evaluator。</t>
        </is>
      </c>
    </row>
    <row r="6" ht="68" customHeight="1">
      <c r="A6" s="8" t="inlineStr">
        <is>
          <t>U-Net R18 + Watershed</t>
        </is>
      </c>
      <c r="B6" s="8" t="inlineStr">
        <is>
          <t>SMP + Watershed</t>
        </is>
      </c>
      <c r="C6" s="8" t="inlineStr">
        <is>
          <t>语义转实例辅助基线</t>
        </is>
      </c>
      <c r="D6" s="8" t="inlineStr">
        <is>
          <t>已完成：300 epoch、val、test</t>
        </is>
      </c>
      <c r="E6" s="8" t="inlineStr">
        <is>
          <t>E_unet_r18_watershed_seed42</t>
        </is>
      </c>
      <c r="F6" s="8" t="n">
        <v>300</v>
      </c>
      <c r="G6" s="8" t="n">
        <v>230</v>
      </c>
      <c r="H6" s="8" t="inlineStr">
        <is>
          <t>citrus_prepared（旧划分）train/val/test=659/188/94</t>
        </is>
      </c>
      <c r="I6" s="8" t="inlineStr">
        <is>
          <t>Torch 2.1.0+cu121 / CUDA 12.1</t>
        </is>
      </c>
      <c r="J6" s="9" t="n">
        <v>0.7758620689655172</v>
      </c>
      <c r="K6" s="9" t="n">
        <v>0.7438016528925619</v>
      </c>
      <c r="L6" s="9" t="n">
        <v>0.759493670886076</v>
      </c>
      <c r="M6" s="9" t="n">
        <v>0.7124468560552367</v>
      </c>
      <c r="N6" s="9" t="n">
        <v>0.5791482714202163</v>
      </c>
      <c r="O6" s="9" t="n">
        <v>0.626890636671639</v>
      </c>
      <c r="P6" s="9" t="n">
        <v>0.76431718061674</v>
      </c>
      <c r="Q6" s="9" t="n">
        <v>0.6724806201550387</v>
      </c>
      <c r="R6" s="9" t="n">
        <v>0.7154639175257732</v>
      </c>
      <c r="S6" s="9" t="n">
        <v>0.6259270281497044</v>
      </c>
      <c r="T6" s="9" t="n">
        <v>0.4963619126722373</v>
      </c>
      <c r="U6" s="9" t="n">
        <v>0.5140510498871221</v>
      </c>
      <c r="V6" s="9" t="n">
        <v>0</v>
      </c>
      <c r="W6" s="9" t="n">
        <v>0.06612193716367591</v>
      </c>
      <c r="X6" s="9" t="n">
        <v>0.6221732210692243</v>
      </c>
      <c r="Y6" s="9" t="n">
        <v>0.5914881343862305</v>
      </c>
      <c r="Z6" s="9" t="n">
        <v>0.4747278015077152</v>
      </c>
      <c r="AA6" s="9" t="n">
        <v>0.9544832287939434</v>
      </c>
      <c r="AB6" s="9" t="n">
        <v>0.9129296551502336</v>
      </c>
      <c r="AC6" s="14" t="n">
        <v>14.328209</v>
      </c>
      <c r="AD6" s="14" t="n">
        <v>9.073902203260545</v>
      </c>
      <c r="AE6" s="14" t="n">
        <v>844.712890625</v>
      </c>
      <c r="AF6" s="11" t="inlineStr">
        <is>
          <t>打开权重</t>
        </is>
      </c>
      <c r="AG6" s="11" t="inlineStr">
        <is>
          <t>打开历史</t>
        </is>
      </c>
      <c r="AH6" s="11" t="inlineStr">
        <is>
          <t>打开元数据</t>
        </is>
      </c>
      <c r="AI6" s="11" t="inlineStr">
        <is>
          <t>打开 Val 指标</t>
        </is>
      </c>
      <c r="AJ6" s="11" t="inlineStr">
        <is>
          <t>打开 Test 指标</t>
        </is>
      </c>
      <c r="AK6" s="11" t="inlineStr">
        <is>
          <t>打开预测</t>
        </is>
      </c>
      <c r="AL6" s="11" t="inlineStr">
        <is>
          <t>打开配置/脚本</t>
        </is>
      </c>
      <c r="AM6" s="8" t="inlineStr">
        <is>
          <t>U-Net 先输出语义前景，再以 marker-controlled watershed 拆分实例；阈值0.5、min_distance=8、min_area=20。</t>
        </is>
      </c>
    </row>
    <row r="7" ht="68" customHeight="1">
      <c r="A7" s="15" t="inlineStr">
        <is>
          <t>RTMDet-Ins-tiny</t>
        </is>
      </c>
      <c r="B7" s="15" t="inlineStr">
        <is>
          <t>MMDetection</t>
        </is>
      </c>
      <c r="C7" s="15" t="inlineStr">
        <is>
          <t>轻量一阶段实例分割</t>
        </is>
      </c>
      <c r="D7" s="15" t="inlineStr">
        <is>
          <t>未找到结果：仅有配置/运行入口</t>
        </is>
      </c>
      <c r="E7" s="15" t="inlineStr"/>
      <c r="F7" s="15" t="n"/>
      <c r="G7" s="15" t="n"/>
      <c r="H7" s="15" t="inlineStr"/>
      <c r="I7" s="15" t="inlineStr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7" t="n"/>
      <c r="AD7" s="17" t="n"/>
      <c r="AE7" s="17" t="n"/>
      <c r="AF7" s="15" t="inlineStr"/>
      <c r="AG7" s="15" t="inlineStr"/>
      <c r="AH7" s="15" t="inlineStr"/>
      <c r="AI7" s="15" t="inlineStr"/>
      <c r="AJ7" s="15" t="inlineStr"/>
      <c r="AK7" s="15" t="inlineStr"/>
      <c r="AL7" s="18" t="inlineStr">
        <is>
          <t>打开配置/脚本</t>
        </is>
      </c>
      <c r="AM7" s="15" t="inlineStr">
        <is>
          <t>dry-run 队列中出现；未发现训练目录、权重或 metrics。注册表：E:\mastercode\1_SEVER\code\baseline_choice\configs\baselines.yaml；运行审计：E:\mastercode\4_baseline_choice\runs\_protocol\ledger.jsonl</t>
        </is>
      </c>
    </row>
    <row r="8" ht="68" customHeight="1">
      <c r="A8" s="15" t="inlineStr">
        <is>
          <t>SOLOv2-Light R18-FPN</t>
        </is>
      </c>
      <c r="B8" s="15" t="inlineStr">
        <is>
          <t>MMDetection</t>
        </is>
      </c>
      <c r="C8" s="15" t="inlineStr">
        <is>
          <t>无框位置式实例分割</t>
        </is>
      </c>
      <c r="D8" s="15" t="inlineStr">
        <is>
          <t>未找到结果：仅有配置/运行入口</t>
        </is>
      </c>
      <c r="E8" s="15" t="inlineStr"/>
      <c r="F8" s="15" t="n"/>
      <c r="G8" s="15" t="n"/>
      <c r="H8" s="15" t="inlineStr"/>
      <c r="I8" s="15" t="inlineStr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7" t="n"/>
      <c r="AD8" s="17" t="n"/>
      <c r="AE8" s="17" t="n"/>
      <c r="AF8" s="15" t="inlineStr"/>
      <c r="AG8" s="15" t="inlineStr"/>
      <c r="AH8" s="15" t="inlineStr"/>
      <c r="AI8" s="15" t="inlineStr"/>
      <c r="AJ8" s="15" t="inlineStr"/>
      <c r="AK8" s="15" t="inlineStr"/>
      <c r="AL8" s="18" t="inlineStr">
        <is>
          <t>打开配置/脚本</t>
        </is>
      </c>
      <c r="AM8" s="15" t="inlineStr">
        <is>
          <t>dry-run 队列中出现；未发现训练目录、权重或 metrics。注册表：E:\mastercode\1_SEVER\code\baseline_choice\configs\baselines.yaml；运行审计：E:\mastercode\4_baseline_choice\runs\_protocol\ledger.jsonl</t>
        </is>
      </c>
    </row>
    <row r="9" ht="68" customHeight="1">
      <c r="A9" s="15" t="inlineStr">
        <is>
          <t>Mask R-CNN R50-FPN (MMDetection)</t>
        </is>
      </c>
      <c r="B9" s="15" t="inlineStr">
        <is>
          <t>MMDetection</t>
        </is>
      </c>
      <c r="C9" s="15" t="inlineStr">
        <is>
          <t>两阶段交叉验证</t>
        </is>
      </c>
      <c r="D9" s="15" t="inlineStr">
        <is>
          <t>未找到结果：仅有配置/运行入口</t>
        </is>
      </c>
      <c r="E9" s="15" t="inlineStr"/>
      <c r="F9" s="15" t="n"/>
      <c r="G9" s="15" t="n"/>
      <c r="H9" s="15" t="inlineStr"/>
      <c r="I9" s="15" t="inlineStr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7" t="n"/>
      <c r="AD9" s="17" t="n"/>
      <c r="AE9" s="17" t="n"/>
      <c r="AF9" s="15" t="inlineStr"/>
      <c r="AG9" s="15" t="inlineStr"/>
      <c r="AH9" s="15" t="inlineStr"/>
      <c r="AI9" s="15" t="inlineStr"/>
      <c r="AJ9" s="15" t="inlineStr"/>
      <c r="AK9" s="15" t="inlineStr"/>
      <c r="AL9" s="18" t="inlineStr">
        <is>
          <t>打开配置/脚本</t>
        </is>
      </c>
      <c r="AM9" s="15" t="inlineStr">
        <is>
          <t>只有运行入口；未发现 MMDetection 版训练结果。注册表：E:\mastercode\1_SEVER\code\baseline_choice\configs\baselines.yaml；运行审计：E:\mastercode\4_baseline_choice\runs\_protocol\ledger.jsonl</t>
        </is>
      </c>
    </row>
    <row r="10" ht="68" customHeight="1">
      <c r="A10" s="15" t="inlineStr">
        <is>
          <t>RF-DETR Seg Preview @312</t>
        </is>
      </c>
      <c r="B10" s="15" t="inlineStr">
        <is>
          <t>RF-DETR</t>
        </is>
      </c>
      <c r="C10" s="15" t="inlineStr">
        <is>
          <t>Transformer 实例分割</t>
        </is>
      </c>
      <c r="D10" s="15" t="inlineStr">
        <is>
          <t>未找到结果：仅有配置/运行入口</t>
        </is>
      </c>
      <c r="E10" s="15" t="inlineStr"/>
      <c r="F10" s="15" t="n"/>
      <c r="G10" s="15" t="n"/>
      <c r="H10" s="15" t="inlineStr"/>
      <c r="I10" s="15" t="inlineStr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7" t="n"/>
      <c r="AD10" s="17" t="n"/>
      <c r="AE10" s="17" t="n"/>
      <c r="AF10" s="15" t="inlineStr"/>
      <c r="AG10" s="15" t="inlineStr"/>
      <c r="AH10" s="15" t="inlineStr"/>
      <c r="AI10" s="15" t="inlineStr"/>
      <c r="AJ10" s="15" t="inlineStr"/>
      <c r="AK10" s="15" t="inlineStr"/>
      <c r="AL10" s="18" t="inlineStr">
        <is>
          <t>打开配置/脚本</t>
        </is>
      </c>
      <c r="AM10" s="15" t="inlineStr">
        <is>
          <t>dry-run 队列中出现；未发现训练目录、权重或 metrics。注册表：E:\mastercode\1_SEVER\code\baseline_choice\configs\baselines.yaml；运行审计：E:\mastercode\4_baseline_choice\runs\_protocol\ledger.jsonl</t>
        </is>
      </c>
    </row>
    <row r="11" ht="68" customHeight="1">
      <c r="A11" s="15" t="inlineStr">
        <is>
          <t>DeepLabV3+ + Watershed</t>
        </is>
      </c>
      <c r="B11" s="15" t="inlineStr">
        <is>
          <t>SMP + Watershed</t>
        </is>
      </c>
      <c r="C11" s="15" t="inlineStr">
        <is>
          <t>可选语义转实例</t>
        </is>
      </c>
      <c r="D11" s="15" t="inlineStr">
        <is>
          <t>未找到结果：仅有配置/运行入口</t>
        </is>
      </c>
      <c r="E11" s="15" t="inlineStr"/>
      <c r="F11" s="15" t="n"/>
      <c r="G11" s="15" t="n"/>
      <c r="H11" s="15" t="inlineStr"/>
      <c r="I11" s="15" t="inlineStr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7" t="n"/>
      <c r="AD11" s="17" t="n"/>
      <c r="AE11" s="17" t="n"/>
      <c r="AF11" s="15" t="inlineStr"/>
      <c r="AG11" s="15" t="inlineStr"/>
      <c r="AH11" s="15" t="inlineStr"/>
      <c r="AI11" s="15" t="inlineStr"/>
      <c r="AJ11" s="15" t="inlineStr"/>
      <c r="AK11" s="15" t="inlineStr"/>
      <c r="AL11" s="18" t="inlineStr">
        <is>
          <t>打开配置/脚本</t>
        </is>
      </c>
      <c r="AM11" s="15" t="inlineStr">
        <is>
          <t>只有注册项；未发现训练输出。注册表：E:\mastercode\1_SEVER\code\baseline_choice\configs\baselines.yaml；运行审计：E:\mastercode\4_baseline_choice\runs\_protocol\ledger.jsonl</t>
        </is>
      </c>
    </row>
    <row r="12" ht="68" customHeight="1">
      <c r="A12" s="15" t="inlineStr">
        <is>
          <t>SegFormer-B0 + Watershed</t>
        </is>
      </c>
      <c r="B12" s="15" t="inlineStr">
        <is>
          <t>SMP + Watershed</t>
        </is>
      </c>
      <c r="C12" s="15" t="inlineStr">
        <is>
          <t>可选语义转实例</t>
        </is>
      </c>
      <c r="D12" s="15" t="inlineStr">
        <is>
          <t>未找到结果：仅有配置/运行入口</t>
        </is>
      </c>
      <c r="E12" s="15" t="inlineStr"/>
      <c r="F12" s="15" t="n"/>
      <c r="G12" s="15" t="n"/>
      <c r="H12" s="15" t="inlineStr"/>
      <c r="I12" s="15" t="inlineStr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7" t="n"/>
      <c r="AD12" s="17" t="n"/>
      <c r="AE12" s="17" t="n"/>
      <c r="AF12" s="15" t="inlineStr"/>
      <c r="AG12" s="15" t="inlineStr"/>
      <c r="AH12" s="15" t="inlineStr"/>
      <c r="AI12" s="15" t="inlineStr"/>
      <c r="AJ12" s="15" t="inlineStr"/>
      <c r="AK12" s="15" t="inlineStr"/>
      <c r="AL12" s="18" t="inlineStr">
        <is>
          <t>打开配置/脚本</t>
        </is>
      </c>
      <c r="AM12" s="15" t="inlineStr">
        <is>
          <t>只有注册项；未发现训练输出。注册表：E:\mastercode\1_SEVER\code\baseline_choice\configs\baselines.yaml；运行审计：E:\mastercode\4_baseline_choice\runs\_protocol\ledger.jsonl</t>
        </is>
      </c>
    </row>
  </sheetData>
  <autoFilter ref="A4:AM12"/>
  <mergeCells count="2">
    <mergeCell ref="A1:AM1"/>
    <mergeCell ref="A2:AM2"/>
  </mergeCells>
  <hyperlinks>
    <hyperlink xmlns:r="http://schemas.openxmlformats.org/officeDocument/2006/relationships" ref="AF5" r:id="rId1"/>
    <hyperlink xmlns:r="http://schemas.openxmlformats.org/officeDocument/2006/relationships" ref="AG5" r:id="rId2"/>
    <hyperlink xmlns:r="http://schemas.openxmlformats.org/officeDocument/2006/relationships" ref="AH5" r:id="rId3"/>
    <hyperlink xmlns:r="http://schemas.openxmlformats.org/officeDocument/2006/relationships" ref="AI5" r:id="rId4"/>
    <hyperlink xmlns:r="http://schemas.openxmlformats.org/officeDocument/2006/relationships" ref="AJ5" r:id="rId5"/>
    <hyperlink xmlns:r="http://schemas.openxmlformats.org/officeDocument/2006/relationships" ref="AK5" r:id="rId6"/>
    <hyperlink xmlns:r="http://schemas.openxmlformats.org/officeDocument/2006/relationships" ref="AL5" r:id="rId7"/>
    <hyperlink xmlns:r="http://schemas.openxmlformats.org/officeDocument/2006/relationships" ref="AF6" r:id="rId8"/>
    <hyperlink xmlns:r="http://schemas.openxmlformats.org/officeDocument/2006/relationships" ref="AG6" r:id="rId9"/>
    <hyperlink xmlns:r="http://schemas.openxmlformats.org/officeDocument/2006/relationships" ref="AH6" r:id="rId10"/>
    <hyperlink xmlns:r="http://schemas.openxmlformats.org/officeDocument/2006/relationships" ref="AI6" r:id="rId11"/>
    <hyperlink xmlns:r="http://schemas.openxmlformats.org/officeDocument/2006/relationships" ref="AJ6" r:id="rId12"/>
    <hyperlink xmlns:r="http://schemas.openxmlformats.org/officeDocument/2006/relationships" ref="AK6" r:id="rId13"/>
    <hyperlink xmlns:r="http://schemas.openxmlformats.org/officeDocument/2006/relationships" ref="AL6" r:id="rId14"/>
    <hyperlink xmlns:r="http://schemas.openxmlformats.org/officeDocument/2006/relationships" ref="AL7" r:id="rId15"/>
    <hyperlink xmlns:r="http://schemas.openxmlformats.org/officeDocument/2006/relationships" ref="AL8" r:id="rId16"/>
    <hyperlink xmlns:r="http://schemas.openxmlformats.org/officeDocument/2006/relationships" ref="AL9" r:id="rId17"/>
    <hyperlink xmlns:r="http://schemas.openxmlformats.org/officeDocument/2006/relationships" ref="AL10" r:id="rId18"/>
    <hyperlink xmlns:r="http://schemas.openxmlformats.org/officeDocument/2006/relationships" ref="AL11" r:id="rId19"/>
    <hyperlink xmlns:r="http://schemas.openxmlformats.org/officeDocument/2006/relationships" ref="AL12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58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24" customWidth="1" min="9" max="9"/>
    <col width="12" customWidth="1" min="10" max="10"/>
    <col width="13" customWidth="1" min="11" max="11"/>
    <col width="22" customWidth="1" min="12" max="12"/>
    <col width="46" customWidth="1" min="13" max="13"/>
    <col width="54" customWidth="1" min="14" max="14"/>
    <col width="13" customWidth="1" min="15" max="15"/>
  </cols>
  <sheetData>
    <row r="1" ht="28" customHeight="1">
      <c r="A1" s="1" t="inlineStr">
        <is>
          <t>旧协议中 Mask mAP50 位于 80.0%–81.5% 的候选结果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8" customHeight="1">
      <c r="A2" s="3" t="inlineStr">
        <is>
          <t>从 F/G/N/SXQ 的 old_data_300ep results.csv 自动筛选。这里保留所有候选供内部选择，组会精简版仅选可讲清的代表。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34" customHeight="1">
      <c r="A4" s="1" t="inlineStr">
        <is>
          <t>模型</t>
        </is>
      </c>
      <c r="B4" s="1" t="inlineStr">
        <is>
          <t>Run</t>
        </is>
      </c>
      <c r="C4" s="1" t="inlineStr">
        <is>
          <t>系列</t>
        </is>
      </c>
      <c r="D4" s="1" t="inlineStr">
        <is>
          <t>最佳Epoch</t>
        </is>
      </c>
      <c r="E4" s="1" t="inlineStr">
        <is>
          <t>Mask P</t>
        </is>
      </c>
      <c r="F4" s="1" t="inlineStr">
        <is>
          <t>Mask R</t>
        </is>
      </c>
      <c r="G4" s="1" t="inlineStr">
        <is>
          <t>Mask mAP50</t>
        </is>
      </c>
      <c r="H4" s="1" t="inlineStr">
        <is>
          <t>Mask mAP50-95</t>
        </is>
      </c>
      <c r="I4" s="1" t="inlineStr">
        <is>
          <t>相对78.635基线 (百分点)</t>
        </is>
      </c>
      <c r="J4" s="1" t="inlineStr">
        <is>
          <t>Params (M)</t>
        </is>
      </c>
      <c r="K4" s="1" t="inlineStr">
        <is>
          <t>GFLOPs@640</t>
        </is>
      </c>
      <c r="L4" s="1" t="inlineStr">
        <is>
          <t>改进部位</t>
        </is>
      </c>
      <c r="M4" s="1" t="inlineStr">
        <is>
          <t>历史汇总中的设计说明</t>
        </is>
      </c>
      <c r="N4" s="1" t="inlineStr">
        <is>
          <t>训练时模型YAML</t>
        </is>
      </c>
      <c r="O4" s="1" t="inlineStr">
        <is>
          <t>结果源</t>
        </is>
      </c>
    </row>
    <row r="5" ht="44" customHeight="1">
      <c r="A5" s="2" t="inlineStr">
        <is>
          <t>SXQNet-V5-Hyper</t>
        </is>
      </c>
      <c r="B5" s="2" t="inlineStr">
        <is>
          <t>SXQNet-V5-hyper_300ep</t>
        </is>
      </c>
      <c r="C5" s="2" t="inlineStr">
        <is>
          <t>SXQ_series</t>
        </is>
      </c>
      <c r="D5" s="2" t="n">
        <v>277</v>
      </c>
      <c r="E5" s="12" t="n">
        <v>0.91754</v>
      </c>
      <c r="F5" s="12" t="n">
        <v>0.73188</v>
      </c>
      <c r="G5" s="12" t="n">
        <v>0.8141</v>
      </c>
      <c r="H5" s="12" t="n">
        <v>0.65149</v>
      </c>
      <c r="I5" s="19">
        <f>IFERROR((G5-0.78635)*100,"")</f>
        <v/>
      </c>
      <c r="J5" s="2" t="n">
        <v>2.678</v>
      </c>
      <c r="K5" s="2" t="n">
        <v>12.52</v>
      </c>
      <c r="L5" s="2" t="inlineStr">
        <is>
          <t>超特征复合网络</t>
        </is>
      </c>
      <c r="M5" s="2" t="inlineStr">
        <is>
          <t>超尺度多特征融合架构</t>
        </is>
      </c>
      <c r="N5" s="2" t="inlineStr">
        <is>
          <t>0_orange_yaml/1_far_small/SXQNet-V5-hyper.yaml</t>
        </is>
      </c>
      <c r="O5" s="13" t="inlineStr">
        <is>
          <t>打开结果</t>
        </is>
      </c>
    </row>
    <row r="6" ht="44" customHeight="1">
      <c r="A6" s="2" t="inlineStr">
        <is>
          <t>F25 SPD+EMA</t>
        </is>
      </c>
      <c r="B6" s="2" t="inlineStr">
        <is>
          <t>F25_yolo11-seg-spd-ema_300ep</t>
        </is>
      </c>
      <c r="C6" s="2" t="inlineStr">
        <is>
          <t>F_series</t>
        </is>
      </c>
      <c r="D6" s="2" t="n">
        <v>231</v>
      </c>
      <c r="E6" s="12" t="n">
        <v>0.8932</v>
      </c>
      <c r="F6" s="12" t="n">
        <v>0.74166</v>
      </c>
      <c r="G6" s="12" t="n">
        <v>0.81409</v>
      </c>
      <c r="H6" s="12" t="n">
        <v>0.64879</v>
      </c>
      <c r="I6" s="19">
        <f>IFERROR((G6-0.78635)*100,"")</f>
        <v/>
      </c>
      <c r="J6" s="2" t="n">
        <v>4.281</v>
      </c>
      <c r="K6" s="2" t="n">
        <v>13.96</v>
      </c>
      <c r="L6" s="2" t="inlineStr">
        <is>
          <t>下采样/注意力</t>
        </is>
      </c>
      <c r="M6" s="2" t="inlineStr">
        <is>
          <t>组合 SPDConv 无损下采样与 EMA 多尺度注意力</t>
        </is>
      </c>
      <c r="N6" s="2" t="inlineStr">
        <is>
          <t>0_orange_yaml/1_far_small/F25_yolo11-seg-spd-ema.yaml</t>
        </is>
      </c>
      <c r="O6" s="13" t="inlineStr">
        <is>
          <t>打开结果</t>
        </is>
      </c>
    </row>
    <row r="7" ht="44" customHeight="1">
      <c r="A7" s="2" t="inlineStr">
        <is>
          <t>F28 DFEM+SPD</t>
        </is>
      </c>
      <c r="B7" s="2" t="inlineStr">
        <is>
          <t>F28_yolo11-seg-dfem-spd_300ep</t>
        </is>
      </c>
      <c r="C7" s="2" t="inlineStr">
        <is>
          <t>F_series</t>
        </is>
      </c>
      <c r="D7" s="2" t="n">
        <v>261</v>
      </c>
      <c r="E7" s="12" t="n">
        <v>0.90389</v>
      </c>
      <c r="F7" s="12" t="n">
        <v>0.73594</v>
      </c>
      <c r="G7" s="12" t="n">
        <v>0.81318</v>
      </c>
      <c r="H7" s="12" t="n">
        <v>0.64739</v>
      </c>
      <c r="I7" s="19">
        <f>IFERROR((G7-0.78635)*100,"")</f>
        <v/>
      </c>
      <c r="J7" s="2" t="n">
        <v>4.307</v>
      </c>
      <c r="K7" s="2" t="n">
        <v>14.14</v>
      </c>
      <c r="L7" s="2" t="inlineStr">
        <is>
          <t>特征增强/下采样</t>
        </is>
      </c>
      <c r="M7" s="2" t="inlineStr">
        <is>
          <t>组合细节特征增强 (DFEM) 与 SPDConv 下采样</t>
        </is>
      </c>
      <c r="N7" s="2" t="inlineStr">
        <is>
          <t>0_orange_yaml/1_far_small/F28_yolo11-seg-dfem-spd.yaml</t>
        </is>
      </c>
      <c r="O7" s="13" t="inlineStr">
        <is>
          <t>打开结果</t>
        </is>
      </c>
    </row>
    <row r="8" ht="44" customHeight="1">
      <c r="A8" s="2" t="inlineStr">
        <is>
          <t>SXQNet-V3-Freq</t>
        </is>
      </c>
      <c r="B8" s="2" t="inlineStr">
        <is>
          <t>SXQNet-V3-freq_300ep</t>
        </is>
      </c>
      <c r="C8" s="2" t="inlineStr">
        <is>
          <t>SXQ_series</t>
        </is>
      </c>
      <c r="D8" s="2" t="n">
        <v>281</v>
      </c>
      <c r="E8" s="12" t="n">
        <v>0.89611</v>
      </c>
      <c r="F8" s="12" t="n">
        <v>0.71687</v>
      </c>
      <c r="G8" s="12" t="n">
        <v>0.81225</v>
      </c>
      <c r="H8" s="12" t="n">
        <v>0.63657</v>
      </c>
      <c r="I8" s="19">
        <f>IFERROR((G8-0.78635)*100,"")</f>
        <v/>
      </c>
      <c r="J8" s="2" t="n">
        <v>2.25</v>
      </c>
      <c r="K8" s="2" t="n">
        <v>9.41</v>
      </c>
      <c r="L8" s="2" t="inlineStr">
        <is>
          <t>频域驱动网络</t>
        </is>
      </c>
      <c r="M8" s="2" t="inlineStr">
        <is>
          <t>频域分析与小波分解复合架构</t>
        </is>
      </c>
      <c r="N8" s="2" t="inlineStr">
        <is>
          <t>0_orange_yaml/1_far_small/SXQNet-V3-freq.yaml</t>
        </is>
      </c>
      <c r="O8" s="13" t="inlineStr">
        <is>
          <t>打开结果</t>
        </is>
      </c>
    </row>
    <row r="9" ht="44" customHeight="1">
      <c r="A9" s="2" t="inlineStr">
        <is>
          <t>SXQNet-V4-Former</t>
        </is>
      </c>
      <c r="B9" s="2" t="inlineStr">
        <is>
          <t>SXQNet-V4-former_300ep</t>
        </is>
      </c>
      <c r="C9" s="2" t="inlineStr">
        <is>
          <t>SXQ_series</t>
        </is>
      </c>
      <c r="D9" s="2" t="n">
        <v>227</v>
      </c>
      <c r="E9" s="12" t="n">
        <v>0.91498</v>
      </c>
      <c r="F9" s="12" t="n">
        <v>0.73499</v>
      </c>
      <c r="G9" s="12" t="n">
        <v>0.8118</v>
      </c>
      <c r="H9" s="12" t="n">
        <v>0.64005</v>
      </c>
      <c r="I9" s="19">
        <f>IFERROR((G9-0.78635)*100,"")</f>
        <v/>
      </c>
      <c r="J9" s="2" t="n">
        <v>2.716</v>
      </c>
      <c r="K9" s="2" t="n">
        <v>25.71</v>
      </c>
      <c r="L9" s="2" t="inlineStr">
        <is>
          <t>Transformer网络</t>
        </is>
      </c>
      <c r="M9" s="2" t="inlineStr">
        <is>
          <t>Transformer 驱动复合架构</t>
        </is>
      </c>
      <c r="N9" s="2" t="inlineStr">
        <is>
          <t>0_orange_yaml/1_far_small/SXQNet-V4-former.yaml</t>
        </is>
      </c>
      <c r="O9" s="13" t="inlineStr">
        <is>
          <t>打开结果</t>
        </is>
      </c>
    </row>
    <row r="10" ht="44" customHeight="1">
      <c r="A10" s="2" t="inlineStr">
        <is>
          <t>F56 FreqSuite</t>
        </is>
      </c>
      <c r="B10" s="2" t="inlineStr">
        <is>
          <t>F56_yolo11-seg-freqsuite_300ep</t>
        </is>
      </c>
      <c r="C10" s="2" t="inlineStr">
        <is>
          <t>F_series</t>
        </is>
      </c>
      <c r="D10" s="2" t="n">
        <v>231</v>
      </c>
      <c r="E10" s="12" t="n">
        <v>0.85836</v>
      </c>
      <c r="F10" s="12" t="n">
        <v>0.73949</v>
      </c>
      <c r="G10" s="12" t="n">
        <v>0.81153</v>
      </c>
      <c r="H10" s="12" t="n">
        <v>0.63955</v>
      </c>
      <c r="I10" s="19">
        <f>IFERROR((G10-0.78635)*100,"")</f>
        <v/>
      </c>
      <c r="J10" s="2" t="n">
        <v>2.556</v>
      </c>
      <c r="K10" s="2" t="n">
        <v>9.779999999999999</v>
      </c>
      <c r="L10" s="2" t="inlineStr">
        <is>
          <t>全网络频域优化</t>
        </is>
      </c>
      <c r="M10" s="2" t="inlineStr">
        <is>
          <t>全频域套件轻量化模型</t>
        </is>
      </c>
      <c r="N10" s="2" t="inlineStr">
        <is>
          <t>0_orange_yaml/1_far_small/F56_yolo11-seg-freqsuite.yaml</t>
        </is>
      </c>
      <c r="O10" s="13" t="inlineStr">
        <is>
          <t>打开结果</t>
        </is>
      </c>
    </row>
    <row r="11" ht="44" customHeight="1">
      <c r="A11" s="2" t="inlineStr">
        <is>
          <t>F45 Edge-Nano</t>
        </is>
      </c>
      <c r="B11" s="2" t="inlineStr">
        <is>
          <t>F45_yolo11-seg-citrusfar-edge-nano_300ep</t>
        </is>
      </c>
      <c r="C11" s="2" t="inlineStr">
        <is>
          <t>F_series</t>
        </is>
      </c>
      <c r="D11" s="2" t="n">
        <v>288</v>
      </c>
      <c r="E11" s="12" t="n">
        <v>0.90526</v>
      </c>
      <c r="F11" s="12" t="n">
        <v>0.7196</v>
      </c>
      <c r="G11" s="12" t="n">
        <v>0.81136</v>
      </c>
      <c r="H11" s="12" t="n">
        <v>0.638</v>
      </c>
      <c r="I11" s="19">
        <f>IFERROR((G11-0.78635)*100,"")</f>
        <v/>
      </c>
      <c r="J11" s="2" t="n">
        <v>1.419</v>
      </c>
      <c r="K11" s="2" t="n">
        <v>10.17</v>
      </c>
      <c r="L11" s="2" t="inlineStr">
        <is>
          <t>全网络轻量化</t>
        </is>
      </c>
      <c r="M11" s="2" t="inlineStr">
        <is>
          <t>纳米级极简架构 (仅 1.42M 参数)</t>
        </is>
      </c>
      <c r="N11" s="2" t="inlineStr">
        <is>
          <t>0_orange_yaml/1_far_small/F45_yolo11-seg-citrusfar-edge-nano.yaml</t>
        </is>
      </c>
      <c r="O11" s="13" t="inlineStr">
        <is>
          <t>打开结果</t>
        </is>
      </c>
    </row>
    <row r="12" ht="44" customHeight="1">
      <c r="A12" s="2" t="inlineStr">
        <is>
          <t>N10 MoCE+HW+BiFPN+Edge+P2B</t>
        </is>
      </c>
      <c r="B12" s="2" t="inlineStr">
        <is>
          <t>20260821_10_moce_hw_bifpn_edge_p2b_baseline_adamw_train_300ep_b16</t>
        </is>
      </c>
      <c r="C12" s="2" t="inlineStr">
        <is>
          <t>N_series</t>
        </is>
      </c>
      <c r="D12" s="2" t="n">
        <v>262</v>
      </c>
      <c r="E12" s="12" t="n">
        <v>0.94054</v>
      </c>
      <c r="F12" s="12" t="n">
        <v>0.70869</v>
      </c>
      <c r="G12" s="12" t="n">
        <v>0.80893</v>
      </c>
      <c r="H12" s="12" t="n">
        <v>0.64332</v>
      </c>
      <c r="I12" s="19">
        <f>IFERROR((G12-0.78635)*100,"")</f>
        <v/>
      </c>
      <c r="J12" s="2" t="n">
        <v>2.613</v>
      </c>
      <c r="K12" s="2" t="n">
        <v>13.21</v>
      </c>
      <c r="L12" s="2" t="inlineStr">
        <is>
          <t>全架构轻量化</t>
        </is>
      </c>
      <c r="M12" s="2" t="inlineStr">
        <is>
          <t>MoCE 骨干 + Haar 下采样 + BiFPN + Edge 极简头 + P2 边界头</t>
        </is>
      </c>
      <c r="N12" s="2" t="inlineStr">
        <is>
          <t>0_orange_yaml/20260821_test/10_moce_hw_bifpn_edge_p2b.yaml</t>
        </is>
      </c>
      <c r="O12" s="13" t="inlineStr">
        <is>
          <t>打开结果</t>
        </is>
      </c>
    </row>
    <row r="13" ht="44" customHeight="1">
      <c r="A13" s="2" t="inlineStr">
        <is>
          <t>F36 Full-no-DySample</t>
        </is>
      </c>
      <c r="B13" s="2" t="inlineStr">
        <is>
          <t>F36_yolo11-seg-ours-no-dysample_300ep</t>
        </is>
      </c>
      <c r="C13" s="2" t="inlineStr">
        <is>
          <t>F_series</t>
        </is>
      </c>
      <c r="D13" s="2" t="n">
        <v>294</v>
      </c>
      <c r="E13" s="12" t="n">
        <v>0.89155</v>
      </c>
      <c r="F13" s="12" t="n">
        <v>0.72883</v>
      </c>
      <c r="G13" s="12" t="n">
        <v>0.80862</v>
      </c>
      <c r="H13" s="12" t="n">
        <v>0.64347</v>
      </c>
      <c r="I13" s="19">
        <f>IFERROR((G13-0.78635)*100,"")</f>
        <v/>
      </c>
      <c r="J13" s="2" t="n">
        <v>4.585</v>
      </c>
      <c r="K13" s="2" t="n">
        <v>14.36</v>
      </c>
      <c r="L13" s="2" t="inlineStr">
        <is>
          <t>全架构复合</t>
        </is>
      </c>
      <c r="M13" s="2" t="inlineStr">
        <is>
          <t>多模块堆叠架构（去除 DySample 上采样）</t>
        </is>
      </c>
      <c r="N13" s="2" t="inlineStr">
        <is>
          <t>0_orange_yaml/1_far_small/F36_yolo11-seg-ours-no-dysample.yaml</t>
        </is>
      </c>
      <c r="O13" s="13" t="inlineStr">
        <is>
          <t>打开结果</t>
        </is>
      </c>
    </row>
    <row r="14" ht="44" customHeight="1">
      <c r="A14" s="2" t="inlineStr">
        <is>
          <t>N09 HW+WT+LSKA+HSF+P2B</t>
        </is>
      </c>
      <c r="B14" s="2" t="inlineStr">
        <is>
          <t>20260821_09_hw_wt_lska_hsf_p2b_baseline_adamw_train_300ep_b16</t>
        </is>
      </c>
      <c r="C14" s="2" t="inlineStr">
        <is>
          <t>N_series</t>
        </is>
      </c>
      <c r="D14" s="2" t="n">
        <v>231</v>
      </c>
      <c r="E14" s="12" t="n">
        <v>0.93164</v>
      </c>
      <c r="F14" s="12" t="n">
        <v>0.7146</v>
      </c>
      <c r="G14" s="12" t="n">
        <v>0.80837</v>
      </c>
      <c r="H14" s="12" t="n">
        <v>0.6444299999999999</v>
      </c>
      <c r="I14" s="19">
        <f>IFERROR((G14-0.78635)*100,"")</f>
        <v/>
      </c>
      <c r="J14" s="2" t="n">
        <v>2.874</v>
      </c>
      <c r="K14" s="2" t="n">
        <v>13.55</v>
      </c>
      <c r="L14" s="2" t="inlineStr">
        <is>
          <t>全架构频域重构</t>
        </is>
      </c>
      <c r="M14" s="2" t="inlineStr">
        <is>
          <t>Haar 下采样 + WT 骨干 + LSKA + HSF + P2 边界头</t>
        </is>
      </c>
      <c r="N14" s="2" t="inlineStr">
        <is>
          <t>0_orange_yaml/20260821_test/09_hw_wt_lska_hsf_p2b.yaml</t>
        </is>
      </c>
      <c r="O14" s="13" t="inlineStr">
        <is>
          <t>打开结果</t>
        </is>
      </c>
    </row>
    <row r="15" ht="44" customHeight="1">
      <c r="A15" s="2" t="inlineStr">
        <is>
          <t>SXQNet-V9-Dark</t>
        </is>
      </c>
      <c r="B15" s="2" t="inlineStr">
        <is>
          <t>SXQNet-V9-dark_300ep</t>
        </is>
      </c>
      <c r="C15" s="2" t="inlineStr">
        <is>
          <t>SXQ_series</t>
        </is>
      </c>
      <c r="D15" s="2" t="n">
        <v>231</v>
      </c>
      <c r="E15" s="12" t="n">
        <v>0.90329</v>
      </c>
      <c r="F15" s="12" t="n">
        <v>0.7206900000000001</v>
      </c>
      <c r="G15" s="12" t="n">
        <v>0.80636</v>
      </c>
      <c r="H15" s="12" t="n">
        <v>0.6289</v>
      </c>
      <c r="I15" s="19">
        <f>IFERROR((G15-0.78635)*100,"")</f>
        <v/>
      </c>
      <c r="J15" s="2" t="n">
        <v>2.589</v>
      </c>
      <c r="K15" s="2" t="n">
        <v>13.2</v>
      </c>
      <c r="L15" s="2" t="inlineStr">
        <is>
          <t>暗光自适应网络</t>
        </is>
      </c>
      <c r="M15" s="2" t="inlineStr">
        <is>
          <t>暗光自适应与强抗噪复合架构</t>
        </is>
      </c>
      <c r="N15" s="2" t="inlineStr">
        <is>
          <t>0_orange_yaml/1_far_small/SXQNet-V9-dark.yaml</t>
        </is>
      </c>
      <c r="O15" s="13" t="inlineStr">
        <is>
          <t>打开结果</t>
        </is>
      </c>
    </row>
    <row r="16" ht="44" customHeight="1">
      <c r="A16" s="2" t="inlineStr">
        <is>
          <t>F61 TGP+TDAM</t>
        </is>
      </c>
      <c r="B16" s="2" t="inlineStr">
        <is>
          <t>F61_yolo11-seg-tgp-tdam_300ep</t>
        </is>
      </c>
      <c r="C16" s="2" t="inlineStr">
        <is>
          <t>F_series</t>
        </is>
      </c>
      <c r="D16" s="2" t="n">
        <v>241</v>
      </c>
      <c r="E16" s="12" t="n">
        <v>0.90407</v>
      </c>
      <c r="F16" s="12" t="n">
        <v>0.72771</v>
      </c>
      <c r="G16" s="12" t="n">
        <v>0.80394</v>
      </c>
      <c r="H16" s="12" t="n">
        <v>0.63339</v>
      </c>
      <c r="I16" s="19">
        <f>IFERROR((G16-0.78635)*100,"")</f>
        <v/>
      </c>
      <c r="J16" s="2" t="n">
        <v>2.91</v>
      </c>
      <c r="K16" s="2" t="n">
        <v>10.75</v>
      </c>
      <c r="L16" s="2" t="inlineStr">
        <is>
          <t>前置/拓扑注意力</t>
        </is>
      </c>
      <c r="M16" s="2" t="inlineStr">
        <is>
          <t>组合纹理前置处理 (TGP) 与拓扑解耦注意力 (TDAM)</t>
        </is>
      </c>
      <c r="N16" s="2" t="inlineStr">
        <is>
          <t>0_orange_yaml/1_far_small/F61_yolo11-seg-tgp-tdam.yaml</t>
        </is>
      </c>
      <c r="O16" s="13" t="inlineStr">
        <is>
          <t>打开结果</t>
        </is>
      </c>
    </row>
    <row r="17" ht="44" customHeight="1">
      <c r="A17" s="2" t="inlineStr">
        <is>
          <t>SXQNet-V1</t>
        </is>
      </c>
      <c r="B17" s="2" t="inlineStr">
        <is>
          <t>SXQNet-seg_300ep</t>
        </is>
      </c>
      <c r="C17" s="2" t="inlineStr">
        <is>
          <t>SXQ_series</t>
        </is>
      </c>
      <c r="D17" s="2" t="n">
        <v>293</v>
      </c>
      <c r="E17" s="12" t="n">
        <v>0.8621</v>
      </c>
      <c r="F17" s="12" t="n">
        <v>0.72545</v>
      </c>
      <c r="G17" s="12" t="n">
        <v>0.80111</v>
      </c>
      <c r="H17" s="12" t="n">
        <v>0.59122</v>
      </c>
      <c r="I17" s="19">
        <f>IFERROR((G17-0.78635)*100,"")</f>
        <v/>
      </c>
      <c r="J17" s="2" t="n">
        <v>2.5</v>
      </c>
      <c r="K17" s="2" t="n">
        <v>14.42</v>
      </c>
      <c r="L17" s="2" t="inlineStr">
        <is>
          <t>全网络复合</t>
        </is>
      </c>
      <c r="M17" s="2" t="inlineStr">
        <is>
          <t>多模块全量堆叠复合架构 (多重特征增强+复杂注意力+多尺度融合)</t>
        </is>
      </c>
      <c r="N17" s="2" t="inlineStr">
        <is>
          <t>0_orange_yaml/1_far_small/SXQNet-seg.yaml</t>
        </is>
      </c>
      <c r="O17" s="13" t="inlineStr">
        <is>
          <t>打开结果</t>
        </is>
      </c>
    </row>
    <row r="18" ht="44" customHeight="1">
      <c r="A18" s="2" t="inlineStr">
        <is>
          <t>SXQNet-V8-Texture</t>
        </is>
      </c>
      <c r="B18" s="2" t="inlineStr">
        <is>
          <t>SXQNet-V8-texture_300ep</t>
        </is>
      </c>
      <c r="C18" s="2" t="inlineStr">
        <is>
          <t>SXQ_series</t>
        </is>
      </c>
      <c r="D18" s="2" t="n">
        <v>282</v>
      </c>
      <c r="E18" s="12" t="n">
        <v>0.93632</v>
      </c>
      <c r="F18" s="12" t="n">
        <v>0.7008799999999999</v>
      </c>
      <c r="G18" s="12" t="n">
        <v>0.80056</v>
      </c>
      <c r="H18" s="12" t="n">
        <v>0.6345</v>
      </c>
      <c r="I18" s="19">
        <f>IFERROR((G18-0.78635)*100,"")</f>
        <v/>
      </c>
      <c r="J18" s="2" t="n">
        <v>2.791</v>
      </c>
      <c r="K18" s="2" t="n">
        <v>12.63</v>
      </c>
      <c r="L18" s="2" t="inlineStr">
        <is>
          <t>纹理全链网络</t>
        </is>
      </c>
      <c r="M18" s="2" t="inlineStr">
        <is>
          <t>端到端纹理感知与细粒度增强复合架构</t>
        </is>
      </c>
      <c r="N18" s="2" t="inlineStr">
        <is>
          <t>0_orange_yaml/1_far_small/SXQNet-V8-texture.yaml</t>
        </is>
      </c>
      <c r="O18" s="13" t="inlineStr">
        <is>
          <t>打开结果</t>
        </is>
      </c>
    </row>
  </sheetData>
  <autoFilter ref="A4:O18"/>
  <mergeCells count="2">
    <mergeCell ref="A1:O1"/>
    <mergeCell ref="A2:O2"/>
  </mergeCells>
  <conditionalFormatting sqref="G5:G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7" customWidth="1" min="2" max="2"/>
    <col width="22" customWidth="1" min="3" max="3"/>
    <col width="28" customWidth="1" min="4" max="4"/>
    <col width="45" customWidth="1" min="5" max="5"/>
  </cols>
  <sheetData>
    <row r="1" ht="28" customHeight="1">
      <c r="A1" s="1" t="inlineStr">
        <is>
          <t>论文计划中的全部基线矩阵与本地完成状态</t>
        </is>
      </c>
      <c r="B1" s="2" t="n"/>
      <c r="C1" s="2" t="n"/>
      <c r="D1" s="2" t="n"/>
      <c r="E1" s="2" t="n"/>
    </row>
    <row r="2" ht="38" customHeight="1">
      <c r="A2" s="3" t="inlineStr">
        <is>
          <t>状态依据 baseline_choice/configs/baselines.yaml、对比实验方案和 results/A_baselines。已有历史结果不等于正式 grouped_dedup 结果。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4" customHeight="1">
      <c r="A4" s="1" t="inlineStr">
        <is>
          <t>模型</t>
        </is>
      </c>
      <c r="B4" s="1" t="inlineStr">
        <is>
          <t>范式</t>
        </is>
      </c>
      <c r="C4" s="1" t="inlineStr">
        <is>
          <t>论文角色</t>
        </is>
      </c>
      <c r="D4" s="1" t="inlineStr">
        <is>
          <t>当前本地状态</t>
        </is>
      </c>
      <c r="E4" s="1" t="inlineStr">
        <is>
          <t>下一步/限制</t>
        </is>
      </c>
    </row>
    <row r="5" ht="36" customHeight="1">
      <c r="A5" s="8" t="inlineStr">
        <is>
          <t>YOLOv8n-Seg</t>
        </is>
      </c>
      <c r="B5" s="8" t="inlineStr">
        <is>
          <t>yolo</t>
        </is>
      </c>
      <c r="C5" s="8" t="inlineStr">
        <is>
          <t>核心</t>
        </is>
      </c>
      <c r="D5" s="8" t="inlineStr">
        <is>
          <t>已有历史结果</t>
        </is>
      </c>
      <c r="E5" s="8" t="inlineStr">
        <is>
          <t>正式 grouped_dedup 待跑</t>
        </is>
      </c>
    </row>
    <row r="6" ht="36" customHeight="1">
      <c r="A6" s="8" t="inlineStr">
        <is>
          <t>YOLO11n-Seg</t>
        </is>
      </c>
      <c r="B6" s="8" t="inlineStr">
        <is>
          <t>yolo</t>
        </is>
      </c>
      <c r="C6" s="8" t="inlineStr">
        <is>
          <t>主基线</t>
        </is>
      </c>
      <c r="D6" s="8" t="inlineStr">
        <is>
          <t>已有历史结果</t>
        </is>
      </c>
      <c r="E6" s="8" t="inlineStr">
        <is>
          <t>正式需 3 seed</t>
        </is>
      </c>
    </row>
    <row r="7" ht="36" customHeight="1">
      <c r="A7" s="8" t="inlineStr">
        <is>
          <t>YOLO26n-Seg</t>
        </is>
      </c>
      <c r="B7" s="8" t="inlineStr">
        <is>
          <t>yolo</t>
        </is>
      </c>
      <c r="C7" s="8" t="inlineStr">
        <is>
          <t>核心</t>
        </is>
      </c>
      <c r="D7" s="8" t="inlineStr">
        <is>
          <t>已有历史结果</t>
        </is>
      </c>
      <c r="E7" s="8" t="inlineStr">
        <is>
          <t>正式 grouped_dedup 待跑</t>
        </is>
      </c>
    </row>
    <row r="8" ht="36" customHeight="1">
      <c r="A8" s="8" t="inlineStr">
        <is>
          <t>YOLO12n-Seg</t>
        </is>
      </c>
      <c r="B8" s="8" t="inlineStr">
        <is>
          <t>yolo</t>
        </is>
      </c>
      <c r="C8" s="8" t="inlineStr">
        <is>
          <t>可选</t>
        </is>
      </c>
      <c r="D8" s="8" t="inlineStr">
        <is>
          <t>已有历史结果</t>
        </is>
      </c>
      <c r="E8" s="8" t="inlineStr">
        <is>
          <t>非最少必做项</t>
        </is>
      </c>
    </row>
    <row r="9" ht="36" customHeight="1">
      <c r="A9" s="15" t="inlineStr">
        <is>
          <t>YOLO11s-Seg</t>
        </is>
      </c>
      <c r="B9" s="15" t="inlineStr">
        <is>
          <t>yolo</t>
        </is>
      </c>
      <c r="C9" s="15" t="inlineStr">
        <is>
          <t>可选精度参照</t>
        </is>
      </c>
      <c r="D9" s="15" t="inlineStr">
        <is>
          <t>仅有配置</t>
        </is>
      </c>
      <c r="E9" s="15" t="inlineStr">
        <is>
          <t>待跑</t>
        </is>
      </c>
    </row>
    <row r="10" ht="36" customHeight="1">
      <c r="A10" s="15" t="inlineStr">
        <is>
          <t>RTMDet-Ins-tiny</t>
        </is>
      </c>
      <c r="B10" s="15" t="inlineStr">
        <is>
          <t>mmdetection</t>
        </is>
      </c>
      <c r="C10" s="15" t="inlineStr">
        <is>
          <t>核心</t>
        </is>
      </c>
      <c r="D10" s="15" t="inlineStr">
        <is>
          <t>仅有配置</t>
        </is>
      </c>
      <c r="E10" s="15" t="inlineStr">
        <is>
          <t>待 smoke/screen/formal</t>
        </is>
      </c>
    </row>
    <row r="11" ht="36" customHeight="1">
      <c r="A11" s="8" t="inlineStr">
        <is>
          <t>Mask R-CNN R50-FPN (Torchvision)</t>
        </is>
      </c>
      <c r="B11" s="8" t="inlineStr">
        <is>
          <t>torchvision</t>
        </is>
      </c>
      <c r="C11" s="8" t="inlineStr">
        <is>
          <t>核心</t>
        </is>
      </c>
      <c r="D11" s="8" t="inlineStr">
        <is>
          <t>已有历史 val+test</t>
        </is>
      </c>
      <c r="E11" s="8" t="inlineStr">
        <is>
          <t>正式 grouped_dedup 待跑</t>
        </is>
      </c>
    </row>
    <row r="12" ht="36" customHeight="1">
      <c r="A12" s="15" t="inlineStr">
        <is>
          <t>Mask R-CNN R50-FPN (MMDetection)</t>
        </is>
      </c>
      <c r="B12" s="15" t="inlineStr">
        <is>
          <t>mmdetection</t>
        </is>
      </c>
      <c r="C12" s="15" t="inlineStr">
        <is>
          <t>可选</t>
        </is>
      </c>
      <c r="D12" s="15" t="inlineStr">
        <is>
          <t>仅有配置</t>
        </is>
      </c>
      <c r="E12" s="15" t="inlineStr">
        <is>
          <t>待跑</t>
        </is>
      </c>
    </row>
    <row r="13" ht="36" customHeight="1">
      <c r="A13" s="15" t="inlineStr">
        <is>
          <t>RF-DETR Seg Preview @312</t>
        </is>
      </c>
      <c r="B13" s="15" t="inlineStr">
        <is>
          <t>rfdetr</t>
        </is>
      </c>
      <c r="C13" s="15" t="inlineStr">
        <is>
          <t>核心</t>
        </is>
      </c>
      <c r="D13" s="15" t="inlineStr">
        <is>
          <t>仅有配置</t>
        </is>
      </c>
      <c r="E13" s="15" t="inlineStr">
        <is>
          <t>待跑；速度不可与 640 直接比较</t>
        </is>
      </c>
    </row>
    <row r="14" ht="36" customHeight="1">
      <c r="A14" s="15" t="inlineStr">
        <is>
          <t>SOLOv2-Light R18-FPN</t>
        </is>
      </c>
      <c r="B14" s="15" t="inlineStr">
        <is>
          <t>mmdetection</t>
        </is>
      </c>
      <c r="C14" s="15" t="inlineStr">
        <is>
          <t>期刊增强</t>
        </is>
      </c>
      <c r="D14" s="15" t="inlineStr">
        <is>
          <t>仅有配置</t>
        </is>
      </c>
      <c r="E14" s="15" t="inlineStr">
        <is>
          <t>待跑</t>
        </is>
      </c>
    </row>
    <row r="15" ht="36" customHeight="1">
      <c r="A15" s="8" t="inlineStr">
        <is>
          <t>U-Net R18 + Watershed</t>
        </is>
      </c>
      <c r="B15" s="8" t="inlineStr">
        <is>
          <t>semantic + watershed</t>
        </is>
      </c>
      <c r="C15" s="8" t="inlineStr">
        <is>
          <t>辅助</t>
        </is>
      </c>
      <c r="D15" s="8" t="inlineStr">
        <is>
          <t>已有历史 val+test</t>
        </is>
      </c>
      <c r="E15" s="8" t="inlineStr">
        <is>
          <t>正式 grouped_dedup 待跑</t>
        </is>
      </c>
    </row>
    <row r="16" ht="36" customHeight="1">
      <c r="A16" s="15" t="inlineStr">
        <is>
          <t>DeepLabV3+ + Watershed</t>
        </is>
      </c>
      <c r="B16" s="15" t="inlineStr">
        <is>
          <t>semantic + watershed</t>
        </is>
      </c>
      <c r="C16" s="15" t="inlineStr">
        <is>
          <t>可选</t>
        </is>
      </c>
      <c r="D16" s="15" t="inlineStr">
        <is>
          <t>仅有配置</t>
        </is>
      </c>
      <c r="E16" s="15" t="inlineStr">
        <is>
          <t>与 SegFormer 二选一</t>
        </is>
      </c>
    </row>
    <row r="17" ht="36" customHeight="1">
      <c r="A17" s="15" t="inlineStr">
        <is>
          <t>SegFormer-B0 + Watershed</t>
        </is>
      </c>
      <c r="B17" s="15" t="inlineStr">
        <is>
          <t>semantic + watershed</t>
        </is>
      </c>
      <c r="C17" s="15" t="inlineStr">
        <is>
          <t>可选</t>
        </is>
      </c>
      <c r="D17" s="15" t="inlineStr">
        <is>
          <t>仅有配置</t>
        </is>
      </c>
      <c r="E17" s="15" t="inlineStr">
        <is>
          <t>与 DeepLabV3+ 二选一</t>
        </is>
      </c>
    </row>
  </sheetData>
  <autoFilter ref="A4:E17"/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74" customWidth="1" min="3" max="3"/>
    <col width="64" customWidth="1" min="4" max="4"/>
    <col width="58" customWidth="1" min="5" max="5"/>
  </cols>
  <sheetData>
    <row r="1" ht="28" customHeight="1">
      <c r="A1" s="1" t="inlineStr">
        <is>
          <t>组会候选模型结构说明（按 YAML 与代码实现核对）</t>
        </is>
      </c>
      <c r="B1" s="2" t="n"/>
      <c r="C1" s="2" t="n"/>
      <c r="D1" s="2" t="n"/>
      <c r="E1" s="2" t="n"/>
    </row>
    <row r="2" ht="38" customHeight="1">
      <c r="A2" s="3" t="inlineStr">
        <is>
          <t>说明以实际 YAML 和 citrus_far.py 为准；已修正旧汇总中 TDAM 名称与代码含义不一致的问题。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34" customHeight="1">
      <c r="A4" s="1" t="inlineStr">
        <is>
          <t>模型</t>
        </is>
      </c>
      <c r="B4" s="1" t="inlineStr">
        <is>
          <t>改进位置</t>
        </is>
      </c>
      <c r="C4" s="1" t="inlineStr">
        <is>
          <t>实际代码做了什么</t>
        </is>
      </c>
      <c r="D4" s="1" t="inlineStr">
        <is>
          <t>设计目的与汇报判断</t>
        </is>
      </c>
      <c r="E4" s="1" t="inlineStr">
        <is>
          <t>核对来源</t>
        </is>
      </c>
    </row>
    <row r="5" ht="82" customHeight="1">
      <c r="A5" s="2" t="inlineStr">
        <is>
          <t>YOLO11n-seg</t>
        </is>
      </c>
      <c r="B5" s="2" t="inlineStr">
        <is>
          <t>基线</t>
        </is>
      </c>
      <c r="C5" s="2" t="inlineStr">
        <is>
          <t>C3k2 主干、SPPF 多尺度池化、C2PSA 注意力、三尺度 Segment 头</t>
        </is>
      </c>
      <c r="D5" s="2" t="inlineStr">
        <is>
          <t>为各模块改进提供统一锚点。</t>
        </is>
      </c>
      <c r="E5" s="2" t="inlineStr">
        <is>
          <t>ultralytics 官方结构 / A_baselines 历史运行</t>
        </is>
      </c>
    </row>
    <row r="6" ht="82" customHeight="1">
      <c r="A6" s="2" t="inlineStr">
        <is>
          <t>F61 TGP+TDAM</t>
        </is>
      </c>
      <c r="B6" s="2" t="inlineStr">
        <is>
          <t>输入端 + 浅中层骨干</t>
        </is>
      </c>
      <c r="C6" s="2" t="inlineStr">
        <is>
          <t>TGP 从亮度构造 3/7/15 尺度局部对比纹理并做可靠性门控；TDAM 用 3/7/11 邻域差分放大纹理差异。</t>
        </is>
      </c>
      <c r="D6" s="2" t="inlineStr">
        <is>
          <t>针对绿果与叶片同色、主要依靠纹理差异的问题。代码中的 TDAM 是 Texture-Difference Amplification，并非旧说明中的“拓扑解耦注意力”。</t>
        </is>
      </c>
      <c r="E6" s="2" t="inlineStr">
        <is>
          <t>F61 YAML；citrus_far.py:TGP/TDAM</t>
        </is>
      </c>
    </row>
    <row r="7" ht="82" customHeight="1">
      <c r="A7" s="2" t="inlineStr">
        <is>
          <t>F36 复合模型（无 DySample）</t>
        </is>
      </c>
      <c r="B7" s="2" t="inlineStr">
        <is>
          <t>骨干 + SPPF + Neck</t>
        </is>
      </c>
      <c r="C7" s="2" t="inlineStr">
        <is>
          <t>SPDConv 保留降采样像素；DFEM 做频带与暗区补偿；SPPF-LSKA 选择长程上下文；BiFPN 加权融合；LIAM 做亮度不变注意力。</t>
        </is>
      </c>
      <c r="D7" s="2" t="inlineStr">
        <is>
          <t>一次验证多种先验是否能协同；模块较多，适合当组合探索，不适合作为清晰单因素归因。</t>
        </is>
      </c>
      <c r="E7" s="2" t="inlineStr">
        <is>
          <t>F36 YAML；citrus_far.py</t>
        </is>
      </c>
    </row>
    <row r="8" ht="82" customHeight="1">
      <c r="A8" s="2" t="inlineStr">
        <is>
          <t>F45 Edge-Nano</t>
        </is>
      </c>
      <c r="B8" s="2" t="inlineStr">
        <is>
          <t>全网络轻量化</t>
        </is>
      </c>
      <c r="C8" s="2" t="inlineStr">
        <is>
          <t>缩减通道和重复次数，以 FasterBlock 的部分卷积替代重卷积；HWDown 保留小波高低频；SPPF-LSKA、BiFPN 和 CSFG 补充上下文与 P2 细节。</t>
        </is>
      </c>
      <c r="D8" s="2" t="inlineStr">
        <is>
          <t>把模型压到约 1.42M 参数，同时保持约 81.1% Mask mAP50，是组会最容易讲清的轻量化代表。</t>
        </is>
      </c>
      <c r="E8" s="2" t="inlineStr">
        <is>
          <t>F45 YAML；citrus_far.py:FasterBlock/HWDown/SPPF_LSKA/BiFPNConcat/CSFG</t>
        </is>
      </c>
    </row>
    <row r="9" ht="82" customHeight="1">
      <c r="A9" s="2" t="inlineStr">
        <is>
          <t>F56 FreqSuite</t>
        </is>
      </c>
      <c r="B9" s="2" t="inlineStr">
        <is>
          <t>骨干 + 下采样 + 中层注意力</t>
        </is>
      </c>
      <c r="C9" s="2" t="inlineStr">
        <is>
          <t>C3k2_WT 使用小波卷积获得频域大感受野；HWDown 显式保存 LL/LH/HL/HH；MWCA 做两级小波跨频带注意力与高频显著门控。</t>
        </is>
      </c>
      <c r="D9" s="2" t="inlineStr">
        <is>
          <t>让网络按目标尺度和清晰度选择频带，侧重模糊小果与边缘信息。</t>
        </is>
      </c>
      <c r="E9" s="2" t="inlineStr">
        <is>
          <t>F56 YAML；citrus_far.py:C3k2_WT/HWDown/MWCA</t>
        </is>
      </c>
    </row>
    <row r="10" ht="82" customHeight="1">
      <c r="A10" s="2" t="inlineStr">
        <is>
          <t>F28 DFEM+SPD</t>
        </is>
      </c>
      <c r="B10" s="2" t="inlineStr">
        <is>
          <t>骨干下采样 + P3 中层</t>
        </is>
      </c>
      <c r="C10" s="2" t="inlineStr">
        <is>
          <t>三次 SPDConv 将 2×2 空间重排到通道，减少步长卷积丢失；DFEM 用可学习频带增益、暗区补偿和局部深度卷积增强特征。</t>
        </is>
      </c>
      <c r="D10" s="2" t="inlineStr">
        <is>
          <t>直接解决小目标经连续下采样后消失，以及远处暗弱果实响应不足。</t>
        </is>
      </c>
      <c r="E10" s="2" t="inlineStr">
        <is>
          <t>F28 YAML；citrus_far.py:SPDConv/DFEM</t>
        </is>
      </c>
    </row>
    <row r="11" ht="82" customHeight="1">
      <c r="A11" s="2" t="inlineStr">
        <is>
          <t>F25 SPD+EMA</t>
        </is>
      </c>
      <c r="B11" s="2" t="inlineStr">
        <is>
          <t>骨干下采样 + P3 Head</t>
        </is>
      </c>
      <c r="C11" s="2" t="inlineStr">
        <is>
          <t>三次 SPDConv 保留空间信息；EMA 在高分辨率 P3 融合后进行分组的空间与通道交互。</t>
        </is>
      </c>
      <c r="D11" s="2" t="inlineStr">
        <is>
          <t>在不改变分割头主体的情况下增强小目标弱响应；本次精简表中展示值最高，为 81.409%。</t>
        </is>
      </c>
      <c r="E11" s="2" t="inlineStr">
        <is>
          <t>F25 YAML；citrus_far.py:SPDConv/EMA</t>
        </is>
      </c>
    </row>
  </sheetData>
  <autoFilter ref="A4:E11"/>
  <mergeCells count="2">
    <mergeCell ref="A1:E1"/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28" customHeight="1">
      <c r="A1" s="1" t="inlineStr">
        <is>
          <t>指标口径、边界与现场问答</t>
        </is>
      </c>
      <c r="B1" s="2" t="n"/>
    </row>
    <row r="2" ht="38" customHeight="1">
      <c r="A2" s="3" t="inlineStr">
        <is>
          <t>这一页用于避免组会时把指标、数据协议和“当前最好”说错。</t>
        </is>
      </c>
      <c r="B2" s="2" t="n"/>
    </row>
    <row r="3">
      <c r="A3" s="2" t="n"/>
      <c r="B3" s="2" t="n"/>
    </row>
    <row r="4" ht="34" customHeight="1">
      <c r="A4" s="1" t="inlineStr">
        <is>
          <t>问题</t>
        </is>
      </c>
      <c r="B4" s="1" t="inlineStr">
        <is>
          <t>建议表述</t>
        </is>
      </c>
    </row>
    <row r="5" ht="65" customHeight="1">
      <c r="A5" s="2" t="inlineStr">
        <is>
          <t>78 基线是什么</t>
        </is>
      </c>
      <c r="B5" s="2" t="inlineStr">
        <is>
          <t>YOLO11n-seg 历史运行 001_3_yolo11-seg_adamw：Mask mAP50=78.635%，对应峰值 Epoch 252；Mask mAP50-95=62.076%。</t>
        </is>
      </c>
    </row>
    <row r="6" ht="65" customHeight="1">
      <c r="A6" s="2" t="inlineStr">
        <is>
          <t>本次建议展示上限</t>
        </is>
      </c>
      <c r="B6" s="2" t="inlineStr">
        <is>
          <t>F25：Mask mAP50=81.409%，较 78.635% 提升 2.774 个百分点；不要说成当前最终最好结果，应称“本次汇报展示的阶段性代表结果”。</t>
        </is>
      </c>
    </row>
    <row r="7" ht="65" customHeight="1">
      <c r="A7" s="2" t="inlineStr">
        <is>
          <t>更稳妥的主讲模型</t>
        </is>
      </c>
      <c r="B7" s="2" t="inlineStr">
        <is>
          <t>F45 Edge-Nano：Mask mAP50=81.136%，参数 1.419M，较基线 2.843M 约减少一半；轻量化故事比多模块堆叠更容易讲清。</t>
        </is>
      </c>
    </row>
    <row r="8" ht="65" customHeight="1">
      <c r="A8" s="2" t="inlineStr">
        <is>
          <t>指标口径</t>
        </is>
      </c>
      <c r="B8" s="2" t="inlineStr">
        <is>
          <t>表内 78/81 均指 Mask mAP50；不能与 Box mAP50 或 Mask mAP50-95 混写。峰值行按 Mask mAP50-95 选择，沿用现有汇总口径。</t>
        </is>
      </c>
    </row>
    <row r="9" ht="65" customHeight="1">
      <c r="A9" s="2" t="inlineStr">
        <is>
          <t>协议限制</t>
        </is>
      </c>
      <c r="B9" s="2" t="inlineStr">
        <is>
          <t>精简表来自旧数据/旧协议、单 seed、val 峰值。orange_yolo 历史划分存在跨 split 组泄漏；这些数字只能做组会过程汇报，不能作为论文最终公平结论。</t>
        </is>
      </c>
    </row>
    <row r="10" ht="65" customHeight="1">
      <c r="A10" s="2" t="inlineStr">
        <is>
          <t>正式论文要求</t>
        </is>
      </c>
      <c r="B10" s="2" t="inlineStr">
        <is>
          <t>统一 orange_yolo_grouped_dedup_20260820，主基线与最终方法 3 seed，统一 test，报告均值±标准差；跨范式基线完成后再进入论文主表。</t>
        </is>
      </c>
    </row>
    <row r="11" ht="65" customHeight="1">
      <c r="A11" s="2" t="inlineStr">
        <is>
          <t>导师问“是不是最好”</t>
        </is>
      </c>
      <c r="B11" s="2" t="inlineStr">
        <is>
          <t>建议回答：目前还有更强方案在统一协议下复核，这次先汇报结构清晰、可追溯的阶段性代表结果。</t>
        </is>
      </c>
    </row>
    <row r="12" ht="65" customHeight="1">
      <c r="A12" s="2" t="inlineStr">
        <is>
          <t>导师问“为什么有些基线空白”</t>
        </is>
      </c>
      <c r="B12" s="2" t="inlineStr">
        <is>
          <t>建议回答：RTMDet、RF-DETR、SOLOv2 等跨框架基线已有运行入口和配置，但本地 results 尚无正式结果，因此没有填造数值。</t>
        </is>
      </c>
    </row>
    <row r="13" ht="65" customHeight="1">
      <c r="A13" s="2" t="inlineStr">
        <is>
          <t>Mask R-CNN/U-Net 注意</t>
        </is>
      </c>
      <c r="B13" s="2" t="inlineStr">
        <is>
          <t>它们已有 COCO evaluator 的 val/test 结果；U-Net 必须写成 U-Net + Watershed，不能把纯语义输出直接称为实例分割。</t>
        </is>
      </c>
    </row>
    <row r="14" ht="65" customHeight="1">
      <c r="A14" s="2" t="inlineStr">
        <is>
          <t>结果保护</t>
        </is>
      </c>
      <c r="B14" s="2" t="inlineStr">
        <is>
          <t>当前更强实验没有删除，也没有改名；只从“组会精简版”中省略。完整历史仍在 1_SEVER/results。</t>
        </is>
      </c>
    </row>
  </sheetData>
  <autoFilter ref="A4:B14"/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2026-09-15T10:14:32Z</dcterms:created>
  <dcterms:modified xmlns:dcterms="http://purl.org/dc/terms/" xmlns:xsi="http://www.w3.org/2001/XMLSchema-instance" xsi:type="dcterms:W3CDTF">2026-09-15T10:14:32Z</dcterms:modified>
</cp:coreProperties>
</file>